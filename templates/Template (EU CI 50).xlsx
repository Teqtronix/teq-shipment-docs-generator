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414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_-&quot;$&quot;* #,##0.00_-;\-&quot;$&quot;* #,##0.00_-;_-&quot;$&quot;* &quot;-&quot;??_-;_-@_-"/>
  </numFmts>
  <fonts count="16">
    <font>
      <name val="Calibri"/>
      <charset val="134"/>
      <family val="2"/>
      <color theme="1"/>
      <sz val="11"/>
      <scheme val="minor"/>
    </font>
    <font>
      <name val="Arial"/>
      <charset val="134"/>
      <family val="2"/>
      <b val="1"/>
      <sz val="12"/>
    </font>
    <font>
      <name val="Arial"/>
      <charset val="134"/>
      <family val="2"/>
      <b val="1"/>
      <color indexed="8"/>
      <sz val="12"/>
    </font>
    <font>
      <name val="Arial"/>
      <charset val="134"/>
      <family val="2"/>
      <b val="1"/>
      <color indexed="8"/>
      <sz val="12"/>
    </font>
    <font>
      <name val="Arial"/>
      <charset val="134"/>
      <family val="2"/>
      <b val="1"/>
      <color indexed="23"/>
      <sz val="12"/>
    </font>
    <font>
      <name val="Arial"/>
      <family val="2"/>
      <b val="1"/>
      <color indexed="8"/>
      <sz val="12"/>
    </font>
    <font>
      <name val="Arial"/>
      <family val="2"/>
      <b val="1"/>
      <color theme="1"/>
      <sz val="12"/>
    </font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Calibri"/>
      <charset val="134"/>
      <family val="2"/>
      <sz val="9"/>
      <scheme val="minor"/>
    </font>
    <font>
      <name val="Calibri"/>
      <charset val="134"/>
      <family val="3"/>
      <sz val="9"/>
      <scheme val="minor"/>
    </font>
    <font>
      <name val="Arial"/>
      <charset val="134"/>
      <family val="2"/>
      <b val="1"/>
      <color indexed="55"/>
      <sz val="20"/>
    </font>
    <font>
      <name val="Arial"/>
      <family val="2"/>
      <color theme="1"/>
      <sz val="12"/>
    </font>
    <font>
      <name val="Verdana"/>
      <family val="2"/>
      <color indexed="8"/>
      <sz val="12"/>
    </font>
    <font>
      <name val="Arial"/>
      <family val="2"/>
      <b val="1"/>
      <color indexed="8"/>
      <sz val="8"/>
    </font>
    <font>
      <name val="Calibri"/>
      <charset val="134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5" fillId="0" borderId="0"/>
    <xf numFmtId="0" fontId="7" fillId="0" borderId="0"/>
    <xf numFmtId="0" fontId="12" fillId="0" borderId="0"/>
    <xf numFmtId="0" fontId="13" fillId="0" borderId="0" applyAlignment="1">
      <alignment vertical="top" wrapText="1"/>
    </xf>
    <xf numFmtId="44" fontId="15" fillId="0" borderId="0"/>
  </cellStyleXfs>
  <cellXfs count="3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4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1" fontId="14" fillId="0" borderId="0" applyAlignment="1" pivotButton="0" quotePrefix="0" xfId="3">
      <alignment vertical="center"/>
    </xf>
    <xf numFmtId="0" fontId="5" fillId="0" borderId="0" applyAlignment="1" pivotButton="0" quotePrefix="0" xfId="3">
      <alignment horizontal="left" vertical="center"/>
    </xf>
    <xf numFmtId="1" fontId="5" fillId="0" borderId="0" applyAlignment="1" pivotButton="0" quotePrefix="0" xfId="3">
      <alignment horizontal="left" vertical="center"/>
    </xf>
    <xf numFmtId="14" fontId="5" fillId="0" borderId="0" applyAlignment="1" pivotButton="0" quotePrefix="0" xfId="3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165" fontId="6" fillId="0" borderId="1" pivotButton="0" quotePrefix="0" xfId="4"/>
    <xf numFmtId="165" fontId="6" fillId="0" borderId="1" pivotButton="0" quotePrefix="0" xfId="0"/>
    <xf numFmtId="165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5" fontId="6" fillId="0" borderId="1" pivotButton="0" quotePrefix="0" xfId="4"/>
    <xf numFmtId="165" fontId="6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/>
    </xf>
    <xf numFmtId="165" fontId="6" fillId="0" borderId="1" applyAlignment="1" pivotButton="0" quotePrefix="0" xfId="0">
      <alignment horizontal="center" vertical="center"/>
    </xf>
  </cellXfs>
  <cellStyles count="5">
    <cellStyle name="Normal" xfId="0" builtinId="0"/>
    <cellStyle name="Normal 23" xfId="1"/>
    <cellStyle name="Normal 2" xfId="2"/>
    <cellStyle name="Normal 3" xfId="3"/>
    <cellStyle name="Currency" xfId="4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tabSelected="1" zoomScale="70" zoomScaleNormal="70" workbookViewId="0">
      <selection activeCell="S5" sqref="S5"/>
    </sheetView>
  </sheetViews>
  <sheetFormatPr baseColWidth="8" defaultColWidth="8.6640625" defaultRowHeight="15.6"/>
  <cols>
    <col width="12.109375" customWidth="1" style="1" min="1" max="1"/>
    <col width="18.6640625" customWidth="1" style="1" min="2" max="2"/>
    <col width="13.44140625" customWidth="1" style="1" min="3" max="3"/>
    <col width="93.33203125" customWidth="1" style="1" min="4" max="4"/>
    <col width="15.44140625" customWidth="1" style="8" min="5" max="5"/>
    <col width="13.6640625" customWidth="1" style="1" min="6" max="6"/>
    <col width="23.33203125" bestFit="1" customWidth="1" style="1" min="7" max="7"/>
    <col width="14.6640625" bestFit="1" customWidth="1" style="1" min="8" max="8"/>
    <col width="14.44140625" bestFit="1" customWidth="1" style="1" min="9" max="9"/>
    <col width="8.6640625" customWidth="1" style="1" min="10" max="16384"/>
  </cols>
  <sheetData>
    <row r="1" ht="26.25" customHeight="1">
      <c r="D1" s="30" t="inlineStr">
        <is>
          <t>Commercial Invoice</t>
        </is>
      </c>
    </row>
    <row r="2" ht="15.75" customHeight="1"/>
    <row r="3" ht="15.75" customHeight="1"/>
    <row r="4">
      <c r="B4" s="2" t="n"/>
      <c r="C4" s="2" t="n"/>
      <c r="D4" s="2" t="n"/>
      <c r="E4" s="12" t="n"/>
    </row>
    <row r="5">
      <c r="B5" s="3" t="inlineStr">
        <is>
          <t>Address:</t>
        </is>
      </c>
      <c r="C5" s="6" t="inlineStr">
        <is>
          <t>Teqtronix International Inc.</t>
        </is>
      </c>
      <c r="D5" s="3" t="n"/>
      <c r="E5" s="13" t="inlineStr">
        <is>
          <t>Ship to:</t>
        </is>
      </c>
      <c r="F5" s="24" t="inlineStr">
        <is>
          <t>TJX UK</t>
        </is>
      </c>
      <c r="G5" s="13" t="inlineStr">
        <is>
          <t>Consignee:</t>
        </is>
      </c>
      <c r="H5" s="14" t="inlineStr">
        <is>
          <t>TJX UK</t>
        </is>
      </c>
      <c r="I5" s="8" t="n"/>
    </row>
    <row r="6">
      <c r="B6" s="3" t="n"/>
      <c r="C6" s="11" t="inlineStr">
        <is>
          <t>9099 LESLIE ST UNIT C</t>
        </is>
      </c>
      <c r="D6" s="3" t="n"/>
      <c r="E6" s="6" t="n"/>
      <c r="F6" s="14" t="inlineStr">
        <is>
          <t>73 Clarendon Road,</t>
        </is>
      </c>
      <c r="G6" s="6" t="n"/>
      <c r="H6" s="14" t="inlineStr">
        <is>
          <t>73 Clarendon Road,</t>
        </is>
      </c>
      <c r="I6" s="8" t="n"/>
    </row>
    <row r="7">
      <c r="B7" s="3" t="n"/>
      <c r="C7" s="11" t="inlineStr">
        <is>
          <t>RICHMOND HILL, ON</t>
        </is>
      </c>
      <c r="D7" s="3" t="n"/>
      <c r="E7" s="6" t="n"/>
      <c r="F7" s="14" t="inlineStr">
        <is>
          <t>Watford, Herts</t>
        </is>
      </c>
      <c r="G7" s="6" t="n"/>
      <c r="H7" s="14" t="inlineStr">
        <is>
          <t>Watford, Herts</t>
        </is>
      </c>
      <c r="I7" s="8" t="n"/>
    </row>
    <row r="8">
      <c r="B8" s="3" t="n"/>
      <c r="C8" s="11" t="inlineStr">
        <is>
          <t>L4B 1K9</t>
        </is>
      </c>
      <c r="D8" s="3" t="n"/>
      <c r="E8" s="6" t="n"/>
      <c r="F8" s="14" t="inlineStr">
        <is>
          <t>WD17 1TX</t>
        </is>
      </c>
      <c r="G8" s="6" t="n"/>
      <c r="H8" s="14" t="inlineStr">
        <is>
          <t>WD17 1TX</t>
        </is>
      </c>
    </row>
    <row r="9">
      <c r="B9" s="3" t="n"/>
      <c r="C9" s="6" t="n"/>
      <c r="D9" s="3" t="n"/>
      <c r="E9" s="2" t="n"/>
      <c r="F9" s="14" t="inlineStr">
        <is>
          <t>UK</t>
        </is>
      </c>
      <c r="G9" s="2" t="n"/>
      <c r="H9" s="14" t="inlineStr">
        <is>
          <t>UK</t>
        </is>
      </c>
      <c r="I9" s="19" t="n"/>
    </row>
    <row r="10">
      <c r="B10" s="3" t="n"/>
      <c r="C10" s="3" t="n"/>
      <c r="D10" s="3" t="n"/>
      <c r="E10" s="7" t="n"/>
      <c r="I10" s="19" t="n"/>
    </row>
    <row r="11">
      <c r="B11" s="6" t="inlineStr">
        <is>
          <t>Order Date:</t>
        </is>
      </c>
      <c r="C11" s="3" t="n"/>
      <c r="D11" s="3" t="n"/>
      <c r="E11" s="7" t="n"/>
    </row>
    <row r="12">
      <c r="B12" s="6" t="inlineStr">
        <is>
          <t xml:space="preserve">Shipper Reference </t>
        </is>
      </c>
      <c r="C12" s="3" t="n"/>
      <c r="D12" s="4" t="n"/>
      <c r="E12" s="7" t="n"/>
      <c r="G12" s="2" t="n"/>
    </row>
    <row r="13">
      <c r="B13" s="6" t="inlineStr">
        <is>
          <t>Purchase Order:</t>
        </is>
      </c>
      <c r="C13" s="17">
        <f>C18</f>
        <v/>
      </c>
      <c r="E13" s="5" t="n"/>
      <c r="G13" s="2" t="n"/>
      <c r="H13" s="20" t="inlineStr">
        <is>
          <t xml:space="preserve">Invoice No: </t>
        </is>
      </c>
      <c r="I13" s="17">
        <f>"PO"&amp;C13</f>
        <v/>
      </c>
    </row>
    <row r="14">
      <c r="B14" s="6" t="inlineStr">
        <is>
          <t>Shipment Term:</t>
        </is>
      </c>
      <c r="C14" s="18" t="inlineStr">
        <is>
          <t>FOB SHENZHEN</t>
        </is>
      </c>
      <c r="E14" s="7" t="n"/>
      <c r="G14" s="2" t="n"/>
      <c r="H14" s="20" t="inlineStr">
        <is>
          <t>Date</t>
        </is>
      </c>
      <c r="I14" s="22" t="n">
        <v>46134</v>
      </c>
    </row>
    <row r="15">
      <c r="B15" s="6" t="inlineStr">
        <is>
          <t>COO:</t>
        </is>
      </c>
      <c r="C15" s="18" t="inlineStr">
        <is>
          <t>China</t>
        </is>
      </c>
      <c r="E15" s="7" t="n"/>
      <c r="G15" s="2" t="n"/>
      <c r="H15" s="20" t="inlineStr">
        <is>
          <t xml:space="preserve">Currency: </t>
        </is>
      </c>
      <c r="I15" s="21" t="inlineStr">
        <is>
          <t>USD</t>
        </is>
      </c>
    </row>
    <row r="16">
      <c r="B16" s="3" t="n"/>
      <c r="C16" s="3" t="n"/>
      <c r="D16" s="3" t="n"/>
      <c r="E16" s="7" t="n"/>
      <c r="F16" s="2" t="n"/>
      <c r="G16" s="2" t="n"/>
    </row>
    <row r="17">
      <c r="A17" s="15" t="inlineStr">
        <is>
          <t>CTN #</t>
        </is>
      </c>
      <c r="B17" s="16" t="inlineStr">
        <is>
          <t>Item</t>
        </is>
      </c>
      <c r="C17" s="16" t="inlineStr">
        <is>
          <t>PO#</t>
        </is>
      </c>
      <c r="D17" s="16" t="inlineStr">
        <is>
          <t>Description</t>
        </is>
      </c>
      <c r="E17" s="16" t="inlineStr">
        <is>
          <t>Qty/CTN</t>
        </is>
      </c>
      <c r="F17" s="16" t="inlineStr">
        <is>
          <t>Cartons</t>
        </is>
      </c>
      <c r="G17" s="16" t="inlineStr">
        <is>
          <t>Grand Qty</t>
        </is>
      </c>
      <c r="H17" s="23" t="inlineStr">
        <is>
          <t>PRICE(USD)</t>
        </is>
      </c>
      <c r="I17" s="23" t="inlineStr">
        <is>
          <t>Total (USD)</t>
        </is>
      </c>
    </row>
    <row r="18" ht="33" customHeight="1">
      <c r="A18" s="9">
        <f>IF(F18=1,SUM($F$18:F18),SUM($F$18:F18)-F18+1 &amp; "-" &amp; SUM($F$18:F18))</f>
        <v/>
      </c>
      <c r="B18" s="9" t="inlineStr">
        <is>
          <t>UABLNFDP</t>
        </is>
      </c>
      <c r="C18" s="9" t="inlineStr">
        <is>
          <t>50800043</t>
        </is>
      </c>
      <c r="D18" s="31" t="inlineStr">
        <is>
          <t>Artikl Bladeless Neck Fan with Adjustable Neckband - Dark Pink</t>
        </is>
      </c>
      <c r="E18" s="9" t="n">
        <v>32</v>
      </c>
      <c r="F18" s="9" t="n">
        <v>30</v>
      </c>
      <c r="G18" s="9" t="n">
        <v>960</v>
      </c>
      <c r="H18" s="32" t="n">
        <v>6.15</v>
      </c>
      <c r="I18" s="33" t="n">
        <v>5904</v>
      </c>
    </row>
    <row r="19" ht="33" customHeight="1">
      <c r="A19" s="9">
        <f>IF(F19=1,SUM($F$18:F19),SUM($F$18:F19)-F19+1 &amp; "-" &amp; SUM($F$18:F19))</f>
        <v/>
      </c>
      <c r="B19" s="9" t="inlineStr">
        <is>
          <t>UPNFCDBL</t>
        </is>
      </c>
      <c r="C19" s="9" t="inlineStr">
        <is>
          <t>50800043</t>
        </is>
      </c>
      <c r="D19" s="31" t="inlineStr">
        <is>
          <t>Powerology Neck Fan with Cooling Plate &amp; LED Digital Display - Blue</t>
        </is>
      </c>
      <c r="E19" s="9" t="n">
        <v>28</v>
      </c>
      <c r="F19" s="9" t="n">
        <v>21</v>
      </c>
      <c r="G19" s="9" t="n">
        <v>588</v>
      </c>
      <c r="H19" s="32" t="n">
        <v>6.5</v>
      </c>
      <c r="I19" s="33" t="n">
        <v>3822</v>
      </c>
    </row>
    <row r="20" ht="33" customHeight="1">
      <c r="A20" s="9">
        <f>IF(F20=1,SUM($F$18:F20),SUM($F$18:F20)-F20+1 &amp; "-" &amp; SUM($F$18:F20))</f>
        <v/>
      </c>
      <c r="B20" s="9" t="inlineStr">
        <is>
          <t>UPNFCDBL</t>
        </is>
      </c>
      <c r="C20" s="9" t="inlineStr">
        <is>
          <t>50800043</t>
        </is>
      </c>
      <c r="D20" s="31" t="inlineStr">
        <is>
          <t>Powerology Neck Fan with Cooling Plate &amp; LED Digital Display - Blue</t>
        </is>
      </c>
      <c r="E20" s="9" t="n">
        <v>12</v>
      </c>
      <c r="F20" s="9" t="n">
        <v>1</v>
      </c>
      <c r="G20" s="9" t="n">
        <v>12</v>
      </c>
      <c r="H20" s="32" t="n">
        <v>6.5</v>
      </c>
      <c r="I20" s="33" t="n">
        <v>78</v>
      </c>
    </row>
    <row r="21" ht="33" customHeight="1">
      <c r="A21" s="9" t="n"/>
      <c r="B21" s="9" t="n"/>
      <c r="C21" s="9" t="n"/>
      <c r="D21" s="34" t="n"/>
      <c r="E21" s="9" t="n"/>
      <c r="F21" s="9" t="n"/>
      <c r="G21" s="9" t="n"/>
      <c r="H21" s="32" t="n"/>
      <c r="I21" s="33" t="n"/>
    </row>
    <row r="22" ht="31.2" customHeight="1">
      <c r="A22" s="9" t="n"/>
      <c r="B22" s="9" t="n"/>
      <c r="C22" s="9" t="n"/>
      <c r="D22" s="31" t="n"/>
      <c r="E22" s="9" t="n"/>
      <c r="F22" s="9" t="n"/>
      <c r="G22" s="9" t="n"/>
      <c r="H22" s="32" t="n"/>
      <c r="I22" s="33" t="n"/>
    </row>
    <row r="23" ht="33" customHeight="1">
      <c r="A23" s="9" t="n"/>
      <c r="B23" s="9" t="n"/>
      <c r="C23" s="9" t="n"/>
      <c r="D23" s="31" t="n"/>
      <c r="E23" s="9" t="n"/>
      <c r="F23" s="9" t="n"/>
      <c r="G23" s="9" t="n"/>
      <c r="H23" s="32" t="n"/>
      <c r="I23" s="33" t="n"/>
    </row>
    <row r="24" ht="33" customHeight="1">
      <c r="A24" s="9" t="n"/>
      <c r="B24" s="9" t="n"/>
      <c r="C24" s="9" t="n"/>
      <c r="D24" s="31" t="n"/>
      <c r="E24" s="9" t="n"/>
      <c r="F24" s="9" t="n"/>
      <c r="G24" s="9" t="n"/>
      <c r="H24" s="32" t="n"/>
      <c r="I24" s="33" t="n"/>
    </row>
    <row r="25">
      <c r="D25" s="35" t="n"/>
      <c r="E25" s="9" t="inlineStr">
        <is>
          <t xml:space="preserve">Total </t>
        </is>
      </c>
      <c r="F25" s="9">
        <f>SUM(F18:F24)</f>
        <v/>
      </c>
      <c r="G25" s="9">
        <f>SUM(G18:G24)</f>
        <v/>
      </c>
      <c r="H25" s="10" t="n"/>
      <c r="I25" s="36">
        <f>SUM(I18:I24)</f>
        <v/>
      </c>
    </row>
  </sheetData>
  <mergeCells count="1">
    <mergeCell ref="D1:G3"/>
  </mergeCells>
  <pageMargins left="0.3937007874015748" right="0.3937007874015748" top="0.7874015748031497" bottom="0.7480314960629921" header="0.3149606299212598" footer="0.3149606299212598"/>
  <pageSetup orientation="landscape" paperSize="9" scale="75" horizontalDpi="4294967293" vertic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MTX - VH</dc:creator>
  <dcterms:created xsi:type="dcterms:W3CDTF">2016-09-08T15:27:58Z</dcterms:created>
  <dcterms:modified xsi:type="dcterms:W3CDTF">2026-06-11T20:35:37Z</dcterms:modified>
  <cp:lastModifiedBy>Pawan Timilsena</cp:lastModifiedBy>
  <cp:lastPrinted>2025-11-26T08:06:59Z</cp:lastPrinted>
</cp:coreProperties>
</file>