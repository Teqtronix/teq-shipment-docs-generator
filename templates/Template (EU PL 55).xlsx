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/>
  <mc:AlternateContent xmlns:mc="http://schemas.openxmlformats.org/markup-compatibility/2006">
    <mc:Choice Requires="x15">
      <x15ac:absPath xmlns:x15ac="http://schemas.microsoft.com/office/spreadsheetml/2010/11/ac" url="C:\Users\PC\Desktop\EU 2026.4.24\德国散货，入裕泰仓\PL\"/>
    </mc:Choice>
  </mc:AlternateContent>
  <xr:revisionPtr revIDLastSave="0" documentId="13_ncr:1_{41B2F522-2668-4DE8-822D-7190B9A55885}" xr6:coauthVersionLast="47" xr6:coauthVersionMax="47" xr10:uidLastSave="{00000000-0000-0000-0000-000000000000}"/>
  <bookViews>
    <workbookView xWindow="4044" yWindow="3804" windowWidth="23040" windowHeight="12120" xr2:uid="{00000000-000D-0000-FFFF-FFFF00000000}"/>
  </bookViews>
  <sheets>
    <sheet name="PL" sheetId="3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21" i="3" l="1"/>
  <c r="A22" i="3"/>
  <c r="A23" i="3"/>
  <c r="C16" i="3"/>
  <c r="M40" i="3" l="1"/>
  <c r="F40" i="3"/>
  <c r="A20" i="3"/>
  <c r="K40" i="3"/>
  <c r="G40" i="3" l="1"/>
</calcChain>
</file>

<file path=xl/sharedStrings.xml><?xml version="1.0" encoding="utf-8"?>
<sst xmlns="http://schemas.openxmlformats.org/spreadsheetml/2006/main" count="54" uniqueCount="42">
  <si>
    <t>Teqtronix International Inc.</t>
  </si>
  <si>
    <t>Order Date:</t>
  </si>
  <si>
    <t xml:space="preserve">Shipper Reference </t>
  </si>
  <si>
    <t>Purchase Order:</t>
  </si>
  <si>
    <t xml:space="preserve">Carrier Name </t>
  </si>
  <si>
    <t>CTN #</t>
  </si>
  <si>
    <t>Item</t>
  </si>
  <si>
    <t>PO#</t>
  </si>
  <si>
    <t>Cartons</t>
  </si>
  <si>
    <t>Description</t>
  </si>
  <si>
    <t>Qty/CTN</t>
  </si>
  <si>
    <t>Shipper/Address:</t>
  </si>
  <si>
    <t>TJX UK</t>
  </si>
  <si>
    <t>Grand Qty</t>
  </si>
  <si>
    <t>N.W</t>
  </si>
  <si>
    <t>Grand N.W</t>
  </si>
  <si>
    <t>G.W</t>
  </si>
  <si>
    <t>Grand G.W</t>
  </si>
  <si>
    <t>Means/CTN</t>
  </si>
  <si>
    <t>Grand Volume</t>
  </si>
  <si>
    <t>KGS</t>
  </si>
  <si>
    <t xml:space="preserve">9099 LESLIE ST UNIT C, </t>
    <phoneticPr fontId="8" type="noConversion"/>
  </si>
  <si>
    <t xml:space="preserve">RICHMOND HILL ON, </t>
    <phoneticPr fontId="8" type="noConversion"/>
  </si>
  <si>
    <t xml:space="preserve">L4B1K9. </t>
    <phoneticPr fontId="8" type="noConversion"/>
  </si>
  <si>
    <t>TEQTRONIX PO</t>
    <phoneticPr fontId="8" type="noConversion"/>
  </si>
  <si>
    <t>Packing Slip</t>
    <phoneticPr fontId="8" type="noConversion"/>
  </si>
  <si>
    <t>Ship to:</t>
    <phoneticPr fontId="8" type="noConversion"/>
  </si>
  <si>
    <t>c/o TJX Distribution Ltd &amp; Co KG</t>
  </si>
  <si>
    <t xml:space="preserve">Ben-Cammarata Strasse 1, Bergheim, </t>
  </si>
  <si>
    <t>GERMANY, 50126</t>
  </si>
  <si>
    <t>Consignee:</t>
  </si>
  <si>
    <t xml:space="preserve">                          Watford, Herts,  WD17 1TX,UK</t>
    <phoneticPr fontId="8" type="noConversion"/>
  </si>
  <si>
    <t>Tel: +44 (0) 1923 473000</t>
    <phoneticPr fontId="8" type="noConversion"/>
  </si>
  <si>
    <t xml:space="preserve">        73 Clarendon Road,</t>
    <phoneticPr fontId="8" type="noConversion"/>
  </si>
  <si>
    <t>55800043</t>
  </si>
  <si>
    <t>UABLNFDP</t>
  </si>
  <si>
    <t>Artikl Bladeless Neck Fan with Adjustable Neckband - Dark Pink</t>
  </si>
  <si>
    <t>UPNFCDBL</t>
  </si>
  <si>
    <t>Powerology Neck Fan with Cooling Plate &amp; LED Digital Display - Blue</t>
  </si>
  <si>
    <t>530*465*640</t>
    <phoneticPr fontId="8" type="noConversion"/>
  </si>
  <si>
    <t>530*465*315</t>
    <phoneticPr fontId="8" type="noConversion"/>
  </si>
  <si>
    <t>720*470*475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</si>
</sst>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[$-409]mmmm\ d\,\ yyyy;@"/>
    <numFmt numFmtId="177" formatCode="0.00&quot; &quot;"/>
    <numFmt numFmtId="178" formatCode="0.00;[Red]0.00"/>
  </numFmts>
  <fonts count="12">
    <font>
      <sz val="11"/>
      <color theme="1"/>
      <name val="DengXian"/>
      <family val="2"/>
      <scheme val="minor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b/>
      <sz val="12"/>
      <color indexed="23"/>
      <name val="Arial"/>
      <family val="2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sz val="11"/>
      <color theme="1"/>
      <name val="DengXian"/>
      <family val="2"/>
      <scheme val="minor"/>
    </font>
    <font>
      <sz val="9"/>
      <name val="DengXian"/>
      <family val="3"/>
      <charset val="134"/>
      <scheme val="minor"/>
    </font>
    <font>
      <sz val="12"/>
      <color theme="1"/>
      <name val="Arial"/>
      <family val="2"/>
    </font>
    <font>
      <b/>
      <sz val="48"/>
      <color theme="1"/>
      <name val="Arial"/>
      <family val="2"/>
    </font>
    <font>
      <sz val="4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theme="0" tint="-0.34998626667073579"/>
      </top>
      <bottom style="double">
        <color theme="0" tint="-0.34998626667073579"/>
      </bottom>
      <diagonal/>
    </border>
  </borders>
  <cellStyleXfs count="3">
    <xf numFmtId="0" fontId="0" fillId="0" borderId="0"/>
    <xf numFmtId="0" fontId="7" fillId="0" borderId="0"/>
    <xf numFmtId="0" fontId="9" fillId="0" borderId="0"/>
  </cellStyleXfs>
  <cellXfs count="35">
    <xf numFmtId="0" fontId="0" fillId="0" borderId="0" xfId="0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76" fontId="1" fillId="0" borderId="0" xfId="0" applyNumberFormat="1" applyFont="1" applyAlignment="1">
      <alignment horizontal="center" vertical="center"/>
    </xf>
    <xf numFmtId="1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right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6" fillId="0" borderId="0" xfId="0" applyFont="1"/>
    <xf numFmtId="0" fontId="3" fillId="0" borderId="1" xfId="0" applyFont="1" applyBorder="1" applyAlignment="1">
      <alignment horizontal="center" vertical="center"/>
    </xf>
    <xf numFmtId="178" fontId="1" fillId="0" borderId="2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" fontId="2" fillId="2" borderId="3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</cellXfs>
  <cellStyles count="3">
    <cellStyle name="Normal 2" xfId="2" xr:uid="{BB2F9166-D2FF-46C8-A685-DD407517715F}"/>
    <cellStyle name="Normal 23" xfId="1" xr:uid="{00000000-0005-0000-0000-000001000000}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421822</xdr:colOff>
      <xdr:row>0</xdr:row>
      <xdr:rowOff>81642</xdr:rowOff>
    </xdr:from>
    <xdr:to>
      <xdr:col>2</xdr:col>
      <xdr:colOff>912300</xdr:colOff>
      <xdr:row>4</xdr:row>
      <xdr:rowOff>53801</xdr:rowOff>
    </xdr:to>
    <xdr:pic>
      <xdr:nvPicPr>
        <xdr:cNvPr id="2" name="Picture 1" descr="big_logo.jpg">
          <a:extLst>
            <a:ext uri="{FF2B5EF4-FFF2-40B4-BE49-F238E27FC236}">
              <a16:creationId xmlns:a16="http://schemas.microsoft.com/office/drawing/2014/main" id="{EEFBB981-78C2-408A-A694-88B56593C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21822" y="83547"/>
          <a:ext cx="2782081" cy="7741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FBD9E-99B6-49E7-ABEE-D5C0928DBC01}">
  <sheetPr>
    <pageSetUpPr fitToPage="1"/>
  </sheetPr>
  <dimension ref="A1:P41"/>
  <sheetViews>
    <sheetView tabSelected="1" topLeftCell="A13" zoomScale="70" zoomScaleNormal="70" workbookViewId="0">
      <selection activeCell="L33" sqref="L33"/>
    </sheetView>
  </sheetViews>
  <sheetFormatPr defaultColWidth="8.6640625" defaultRowHeight="15.6"/>
  <cols>
    <col min="1" max="1" width="10" style="1" bestFit="1" customWidth="1"/>
    <col min="2" max="2" width="23.44140625" style="1" customWidth="1"/>
    <col min="3" max="3" width="15.5546875" style="1" bestFit="1" customWidth="1"/>
    <col min="4" max="4" width="86.77734375" style="9" customWidth="1"/>
    <col min="5" max="6" width="10.44140625" style="1" bestFit="1" customWidth="1"/>
    <col min="7" max="7" width="12.88671875" style="1" bestFit="1" customWidth="1"/>
    <col min="8" max="8" width="7.109375" style="1" bestFit="1" customWidth="1"/>
    <col min="9" max="9" width="13.6640625" style="1" bestFit="1" customWidth="1"/>
    <col min="10" max="10" width="12.44140625" style="1" customWidth="1"/>
    <col min="11" max="11" width="14.6640625" style="1" customWidth="1"/>
    <col min="12" max="12" width="14.6640625" style="1" bestFit="1" customWidth="1"/>
    <col min="13" max="13" width="18.109375" style="1" customWidth="1"/>
    <col min="14" max="14" width="21.44140625" style="1" customWidth="1"/>
    <col min="15" max="16384" width="8.6640625" style="1"/>
  </cols>
  <sheetData>
    <row r="1" spans="1:12">
      <c r="A1"/>
      <c r="B1"/>
      <c r="C1"/>
      <c r="D1" s="31" t="s">
        <v>25</v>
      </c>
      <c r="E1" s="32"/>
      <c r="F1" s="32"/>
      <c r="G1" s="32"/>
      <c r="H1" s="32"/>
      <c r="I1" s="32"/>
    </row>
    <row r="2" spans="1:12">
      <c r="A2"/>
      <c r="B2"/>
      <c r="C2"/>
      <c r="D2" s="32"/>
      <c r="E2" s="32"/>
      <c r="F2" s="32"/>
      <c r="G2" s="32"/>
      <c r="H2" s="32"/>
      <c r="I2" s="32"/>
    </row>
    <row r="3" spans="1:12">
      <c r="A3"/>
      <c r="B3"/>
      <c r="C3"/>
      <c r="D3" s="32"/>
      <c r="E3" s="32"/>
      <c r="F3" s="32"/>
      <c r="G3" s="32"/>
      <c r="H3" s="32"/>
      <c r="I3" s="32"/>
    </row>
    <row r="4" spans="1:12">
      <c r="A4"/>
      <c r="B4"/>
      <c r="C4"/>
      <c r="D4" s="32"/>
      <c r="E4" s="32"/>
      <c r="F4" s="32"/>
      <c r="G4" s="32"/>
      <c r="H4" s="32"/>
      <c r="I4" s="32"/>
    </row>
    <row r="5" spans="1:12">
      <c r="A5"/>
      <c r="B5"/>
      <c r="C5"/>
      <c r="D5"/>
      <c r="E5"/>
      <c r="F5"/>
      <c r="G5"/>
    </row>
    <row r="6" spans="1:12">
      <c r="A6"/>
      <c r="B6"/>
      <c r="C6"/>
      <c r="D6"/>
      <c r="E6"/>
      <c r="F6"/>
      <c r="G6"/>
    </row>
    <row r="7" spans="1:12">
      <c r="A7"/>
      <c r="B7"/>
      <c r="C7"/>
      <c r="D7"/>
      <c r="E7"/>
      <c r="F7"/>
      <c r="G7"/>
    </row>
    <row r="8" spans="1:12">
      <c r="B8" s="3" t="s">
        <v>11</v>
      </c>
      <c r="C8" s="33" t="s">
        <v>0</v>
      </c>
      <c r="D8" s="33"/>
      <c r="E8"/>
      <c r="F8" s="12" t="s">
        <v>26</v>
      </c>
      <c r="G8" s="34" t="s">
        <v>12</v>
      </c>
      <c r="H8" s="34"/>
      <c r="K8" s="1" t="s">
        <v>30</v>
      </c>
      <c r="L8" s="9" t="s">
        <v>12</v>
      </c>
    </row>
    <row r="9" spans="1:12">
      <c r="B9" s="3"/>
      <c r="C9" s="33" t="s">
        <v>21</v>
      </c>
      <c r="D9" s="33"/>
      <c r="F9" s="8"/>
      <c r="G9" s="26" t="s">
        <v>27</v>
      </c>
      <c r="H9" s="26"/>
      <c r="I9" s="9"/>
      <c r="L9" s="1" t="s">
        <v>33</v>
      </c>
    </row>
    <row r="10" spans="1:12">
      <c r="B10" s="3"/>
      <c r="C10" s="33" t="s">
        <v>22</v>
      </c>
      <c r="D10" s="33"/>
      <c r="F10" s="8"/>
      <c r="G10" s="26" t="s">
        <v>28</v>
      </c>
      <c r="H10" s="26"/>
      <c r="I10" s="9"/>
      <c r="L10" s="1" t="s">
        <v>31</v>
      </c>
    </row>
    <row r="11" spans="1:12">
      <c r="B11" s="3"/>
      <c r="C11" s="33" t="s">
        <v>23</v>
      </c>
      <c r="D11" s="33"/>
      <c r="F11" s="8"/>
      <c r="G11" s="26" t="s">
        <v>29</v>
      </c>
      <c r="H11" s="26"/>
      <c r="I11" s="9"/>
      <c r="L11" s="9" t="s">
        <v>32</v>
      </c>
    </row>
    <row r="12" spans="1:12">
      <c r="B12" s="3"/>
      <c r="C12" s="7"/>
      <c r="D12" s="8"/>
      <c r="E12" s="9"/>
      <c r="F12" s="4"/>
      <c r="H12" s="10"/>
      <c r="J12" s="11"/>
      <c r="K12" s="11"/>
    </row>
    <row r="13" spans="1:12">
      <c r="B13" s="3"/>
      <c r="C13" s="3"/>
      <c r="D13" s="8"/>
      <c r="E13" s="11"/>
      <c r="F13" s="4"/>
      <c r="H13" s="9"/>
    </row>
    <row r="14" spans="1:12">
      <c r="B14" s="7" t="s">
        <v>1</v>
      </c>
      <c r="C14" s="5"/>
      <c r="D14" s="8"/>
      <c r="E14" s="11"/>
      <c r="F14" s="3"/>
    </row>
    <row r="15" spans="1:12">
      <c r="B15" s="7" t="s">
        <v>2</v>
      </c>
      <c r="C15" s="6"/>
      <c r="D15" s="8"/>
      <c r="E15" s="2"/>
      <c r="F15" s="3"/>
    </row>
    <row r="16" spans="1:12">
      <c r="B16" s="7" t="s">
        <v>3</v>
      </c>
      <c r="C16" s="1" t="str">
        <f>B20</f>
        <v>55800043</v>
      </c>
      <c r="D16" s="8"/>
      <c r="E16" s="2"/>
      <c r="F16" s="2"/>
    </row>
    <row r="17" spans="1:16">
      <c r="B17" s="7" t="s">
        <v>4</v>
      </c>
      <c r="D17" s="8"/>
      <c r="E17" s="2"/>
      <c r="F17" s="2"/>
    </row>
    <row r="18" spans="1:16">
      <c r="A18" s="15"/>
      <c r="B18" s="3"/>
      <c r="C18" s="3"/>
      <c r="D18" s="8"/>
      <c r="E18" s="2"/>
      <c r="F18" s="2"/>
      <c r="H18" s="13" t="s">
        <v>14</v>
      </c>
      <c r="I18" s="13" t="s">
        <v>15</v>
      </c>
      <c r="J18" s="13" t="s">
        <v>16</v>
      </c>
      <c r="K18" s="13" t="s">
        <v>17</v>
      </c>
      <c r="L18" s="29" t="s">
        <v>18</v>
      </c>
      <c r="M18" s="29" t="s">
        <v>19</v>
      </c>
    </row>
    <row r="19" spans="1:16">
      <c r="A19" s="19" t="s">
        <v>5</v>
      </c>
      <c r="B19" s="20" t="s">
        <v>7</v>
      </c>
      <c r="C19" s="20" t="s">
        <v>6</v>
      </c>
      <c r="D19" s="21" t="s">
        <v>9</v>
      </c>
      <c r="E19" s="20" t="s">
        <v>10</v>
      </c>
      <c r="F19" s="20" t="s">
        <v>8</v>
      </c>
      <c r="G19" s="20" t="s">
        <v>13</v>
      </c>
      <c r="H19" s="20" t="s">
        <v>20</v>
      </c>
      <c r="I19" s="20" t="s">
        <v>20</v>
      </c>
      <c r="J19" s="20" t="s">
        <v>20</v>
      </c>
      <c r="K19" s="20" t="s">
        <v>20</v>
      </c>
      <c r="L19" s="30"/>
      <c r="M19" s="30"/>
      <c r="N19" s="14" t="s">
        <v>24</v>
      </c>
    </row>
    <row r="20" spans="1:16">
      <c r="A20" s="27" t="str">
        <f>IF(F20=1,SUM($F$20:F20),SUM($F$20:F20)-F20+1 &amp; "-" &amp; SUM($F$20:F20))</f>
        <v>1-21</v>
      </c>
      <c r="B20" s="23" t="s">
        <v>34</v>
      </c>
      <c r="C20" s="22" t="s">
        <v>35</v>
      </c>
      <c r="D20" s="22" t="s">
        <v>36</v>
      </c>
      <c r="E20" s="23">
        <v>28</v>
      </c>
      <c r="F20" s="23">
        <v>21</v>
      </c>
      <c r="G20" s="23">
        <v>588</v>
      </c>
      <c r="H20" s="23">
        <v>13.3</v>
      </c>
      <c r="I20" s="23">
        <v>279.3</v>
      </c>
      <c r="J20" s="28">
        <v>14.8</v>
      </c>
      <c r="K20" s="23">
        <v>310.8</v>
      </c>
      <c r="L20" s="23" t="s">
        <v>39</v>
      </c>
      <c r="M20" s="23">
        <v>3.31</v>
      </c>
      <c r="N20" s="23">
        <v>10722</v>
      </c>
      <c r="P20" s="16"/>
    </row>
    <row r="21" spans="1:16">
      <c r="A21" s="27">
        <f>IF(F21=1,SUM($F$20:F21),SUM($F$20:F21)-F21+1 &amp; "-" &amp; SUM($F$20:F21))</f>
        <v>22</v>
      </c>
      <c r="B21" s="23" t="s">
        <v>34</v>
      </c>
      <c r="C21" s="22" t="s">
        <v>35</v>
      </c>
      <c r="D21" s="22" t="s">
        <v>36</v>
      </c>
      <c r="E21" s="23">
        <v>12</v>
      </c>
      <c r="F21" s="23">
        <v>1</v>
      </c>
      <c r="G21" s="23">
        <v>12</v>
      </c>
      <c r="H21" s="23">
        <v>5.7</v>
      </c>
      <c r="I21" s="23">
        <v>5.7</v>
      </c>
      <c r="J21" s="28">
        <v>7.2</v>
      </c>
      <c r="K21" s="23">
        <v>7.2</v>
      </c>
      <c r="L21" s="23" t="s">
        <v>40</v>
      </c>
      <c r="M21" s="23">
        <v>0.08</v>
      </c>
      <c r="N21" s="23">
        <v>10722</v>
      </c>
      <c r="P21" s="16"/>
    </row>
    <row r="22" spans="1:16">
      <c r="A22" s="27" t="str">
        <f>IF(F22=1,SUM($F$20:F22),SUM($F$20:F22)-F22+1 &amp; "-" &amp; SUM($F$20:F22))</f>
        <v>23-39</v>
      </c>
      <c r="B22" s="23" t="s">
        <v>34</v>
      </c>
      <c r="C22" s="22" t="s">
        <v>37</v>
      </c>
      <c r="D22" s="22" t="s">
        <v>38</v>
      </c>
      <c r="E22" s="23">
        <v>28</v>
      </c>
      <c r="F22" s="23">
        <v>17</v>
      </c>
      <c r="G22" s="23">
        <v>476</v>
      </c>
      <c r="H22" s="23">
        <v>12.21</v>
      </c>
      <c r="I22" s="23">
        <v>211.48</v>
      </c>
      <c r="J22" s="28">
        <v>13.71</v>
      </c>
      <c r="K22" s="23">
        <v>228.48</v>
      </c>
      <c r="L22" s="23" t="s">
        <v>41</v>
      </c>
      <c r="M22" s="23">
        <v>2.7330000000000001</v>
      </c>
      <c r="N22" s="23">
        <v>10723</v>
      </c>
      <c r="P22" s="16"/>
    </row>
    <row r="23" spans="1:16">
      <c r="A23" s="27">
        <f>IF(F23=1,SUM($F$20:F23),SUM($F$20:F23)-F23+1 &amp; "-" &amp; SUM($F$20:F23))</f>
        <v>40</v>
      </c>
      <c r="B23" s="23" t="s">
        <v>34</v>
      </c>
      <c r="C23" s="22" t="s">
        <v>37</v>
      </c>
      <c r="D23" s="22" t="s">
        <v>38</v>
      </c>
      <c r="E23" s="23">
        <v>4</v>
      </c>
      <c r="F23" s="23">
        <v>1</v>
      </c>
      <c r="G23" s="23">
        <v>4</v>
      </c>
      <c r="H23" s="23">
        <v>1.74</v>
      </c>
      <c r="I23" s="23">
        <v>0.92</v>
      </c>
      <c r="J23" s="28">
        <v>2.27</v>
      </c>
      <c r="K23" s="23">
        <v>1.92</v>
      </c>
      <c r="L23" s="23" t="s">
        <v>41</v>
      </c>
      <c r="M23" s="23">
        <v>0.161</v>
      </c>
      <c r="N23" s="23">
        <v>10723</v>
      </c>
      <c r="P23" s="16"/>
    </row>
    <row r="24" spans="1:16">
      <c r="A24" s="27"/>
      <c r="B24" s="23"/>
      <c r="C24" s="22"/>
      <c r="D24" s="22"/>
      <c r="E24" s="23"/>
      <c r="F24" s="23"/>
      <c r="G24" s="23"/>
      <c r="H24" s="23"/>
      <c r="I24" s="23"/>
      <c r="J24" s="28"/>
      <c r="K24" s="23"/>
      <c r="L24" s="23"/>
      <c r="M24" s="23"/>
      <c r="N24" s="23"/>
    </row>
    <row r="25" spans="1:16">
      <c r="A25" s="27"/>
      <c r="B25" s="23"/>
      <c r="C25" s="22"/>
      <c r="D25" s="22"/>
      <c r="E25" s="23"/>
      <c r="F25" s="23"/>
      <c r="G25" s="23"/>
      <c r="H25" s="23"/>
      <c r="I25" s="23"/>
      <c r="J25" s="28"/>
      <c r="K25" s="23"/>
      <c r="L25" s="23"/>
      <c r="M25" s="23"/>
      <c r="N25" s="23"/>
    </row>
    <row r="26" spans="1:16">
      <c r="A26" s="27"/>
      <c r="B26" s="23"/>
      <c r="C26" s="22"/>
      <c r="D26" s="22"/>
      <c r="E26" s="23"/>
      <c r="F26" s="23"/>
      <c r="G26" s="23"/>
      <c r="H26" s="23"/>
      <c r="I26" s="23"/>
      <c r="J26" s="28"/>
      <c r="K26" s="23"/>
      <c r="L26" s="23"/>
      <c r="M26" s="23"/>
      <c r="N26" s="23"/>
    </row>
    <row r="27" spans="1:16">
      <c r="A27" s="27"/>
      <c r="B27" s="23"/>
      <c r="C27" s="22"/>
      <c r="D27" s="22"/>
      <c r="E27" s="23"/>
      <c r="F27" s="23"/>
      <c r="G27" s="23"/>
      <c r="H27" s="23"/>
      <c r="I27" s="23"/>
      <c r="J27" s="28"/>
      <c r="K27" s="23"/>
      <c r="L27" s="23"/>
      <c r="M27" s="23"/>
      <c r="N27" s="23"/>
    </row>
    <row r="28" spans="1:16">
      <c r="A28" s="27"/>
      <c r="B28" s="23"/>
      <c r="C28" s="22"/>
      <c r="D28" s="22"/>
      <c r="E28" s="23"/>
      <c r="F28" s="23"/>
      <c r="G28" s="23"/>
      <c r="H28" s="23"/>
      <c r="I28" s="23"/>
      <c r="J28" s="28"/>
      <c r="K28" s="23"/>
      <c r="L28" s="23"/>
      <c r="M28" s="23"/>
      <c r="N28" s="23"/>
    </row>
    <row r="29" spans="1:16">
      <c r="A29" s="27"/>
      <c r="B29" s="23"/>
      <c r="C29" s="22"/>
      <c r="D29" s="22"/>
      <c r="E29" s="23"/>
      <c r="F29" s="23"/>
      <c r="G29" s="23"/>
      <c r="H29" s="23"/>
      <c r="I29" s="23"/>
      <c r="J29" s="28"/>
      <c r="K29" s="23"/>
      <c r="L29" s="23"/>
      <c r="M29" s="23"/>
      <c r="N29" s="23"/>
    </row>
    <row r="30" spans="1:16">
      <c r="A30" s="27"/>
      <c r="B30" s="23"/>
      <c r="C30" s="22"/>
      <c r="D30" s="22"/>
      <c r="E30" s="23"/>
      <c r="F30" s="23"/>
      <c r="G30" s="23"/>
      <c r="H30" s="23"/>
      <c r="I30" s="23"/>
      <c r="J30" s="28"/>
      <c r="K30" s="23"/>
      <c r="L30" s="23"/>
      <c r="M30" s="23"/>
      <c r="N30" s="23"/>
    </row>
    <row r="31" spans="1:16">
      <c r="A31" s="27"/>
      <c r="B31" s="23"/>
      <c r="C31" s="22"/>
      <c r="D31" s="22"/>
      <c r="E31" s="23"/>
      <c r="F31" s="23"/>
      <c r="G31" s="23"/>
      <c r="H31" s="23"/>
      <c r="I31" s="23"/>
      <c r="J31" s="28"/>
      <c r="K31" s="23"/>
      <c r="L31" s="23"/>
      <c r="M31" s="23"/>
      <c r="N31" s="23"/>
    </row>
    <row r="32" spans="1:16">
      <c r="A32" s="27"/>
      <c r="B32" s="23"/>
      <c r="C32" s="22"/>
      <c r="D32" s="22"/>
      <c r="E32" s="23"/>
      <c r="F32" s="23"/>
      <c r="G32" s="23"/>
      <c r="H32" s="23"/>
      <c r="I32" s="23"/>
      <c r="J32" s="28"/>
      <c r="K32" s="23"/>
      <c r="L32" s="23"/>
      <c r="M32" s="23"/>
      <c r="N32" s="23"/>
    </row>
    <row r="33" spans="1:14">
      <c r="A33" s="27"/>
      <c r="B33" s="23"/>
      <c r="C33" s="22"/>
      <c r="D33" s="22"/>
      <c r="E33" s="23"/>
      <c r="F33" s="23"/>
      <c r="G33" s="23"/>
      <c r="H33" s="23"/>
      <c r="I33" s="23"/>
      <c r="J33" s="28"/>
      <c r="K33" s="23"/>
      <c r="L33" s="23"/>
      <c r="M33" s="23"/>
      <c r="N33" s="23"/>
    </row>
    <row r="34" spans="1:14">
      <c r="A34" s="27"/>
      <c r="B34" s="23"/>
      <c r="C34" s="22"/>
      <c r="D34" s="22"/>
      <c r="E34" s="23"/>
      <c r="F34" s="23"/>
      <c r="G34" s="23"/>
      <c r="H34" s="23"/>
      <c r="I34" s="23"/>
      <c r="J34" s="28"/>
      <c r="K34" s="23"/>
      <c r="L34" s="23"/>
      <c r="M34" s="23"/>
      <c r="N34" s="23"/>
    </row>
    <row r="35" spans="1:14">
      <c r="A35" s="27"/>
      <c r="B35" s="23"/>
      <c r="C35" s="22"/>
      <c r="D35" s="22"/>
      <c r="E35" s="23"/>
      <c r="F35" s="23"/>
      <c r="G35" s="23"/>
      <c r="H35" s="23"/>
      <c r="I35" s="23"/>
      <c r="J35" s="28"/>
      <c r="K35" s="23"/>
      <c r="L35" s="23"/>
      <c r="M35" s="23"/>
      <c r="N35" s="23"/>
    </row>
    <row r="36" spans="1:14">
      <c r="A36" s="27"/>
      <c r="B36" s="23"/>
      <c r="C36" s="22"/>
      <c r="D36" s="22"/>
      <c r="E36" s="23"/>
      <c r="F36" s="23"/>
      <c r="G36" s="23"/>
      <c r="H36" s="23"/>
      <c r="I36" s="23"/>
      <c r="J36" s="28"/>
      <c r="K36" s="23"/>
      <c r="L36" s="23"/>
      <c r="M36" s="23"/>
      <c r="N36" s="23"/>
    </row>
    <row r="37" spans="1:14">
      <c r="A37" s="27"/>
      <c r="B37" s="23"/>
      <c r="C37" s="22"/>
      <c r="D37" s="22"/>
      <c r="E37" s="23"/>
      <c r="F37" s="23"/>
      <c r="G37" s="23"/>
      <c r="H37" s="23"/>
      <c r="I37" s="23"/>
      <c r="J37" s="23"/>
      <c r="K37" s="23"/>
      <c r="L37" s="23"/>
      <c r="M37" s="23"/>
      <c r="N37" s="23"/>
    </row>
    <row r="38" spans="1:14">
      <c r="A38" s="27"/>
      <c r="B38" s="23"/>
      <c r="C38" s="22"/>
      <c r="D38" s="22"/>
      <c r="E38" s="23"/>
      <c r="F38" s="23"/>
      <c r="G38" s="23"/>
      <c r="H38" s="23"/>
      <c r="I38" s="23"/>
      <c r="J38" s="23"/>
      <c r="K38" s="23"/>
      <c r="L38" s="23"/>
      <c r="M38" s="23"/>
      <c r="N38" s="23"/>
    </row>
    <row r="39" spans="1:14" s="17" customFormat="1" ht="15">
      <c r="D39" s="18"/>
    </row>
    <row r="40" spans="1:14" ht="16.2" thickBot="1">
      <c r="A40" s="24"/>
      <c r="B40" s="24"/>
      <c r="C40" s="24"/>
      <c r="D40" s="25"/>
      <c r="E40" s="24"/>
      <c r="F40" s="24">
        <f>SUM(F20:F39)</f>
        <v>40</v>
      </c>
      <c r="G40" s="24">
        <f>SUM(G20:G39)</f>
        <v>1080</v>
      </c>
      <c r="H40" s="24"/>
      <c r="I40" s="24"/>
      <c r="J40" s="24"/>
      <c r="K40" s="24">
        <f>SUM(K20:K39)</f>
        <v>548.4</v>
      </c>
      <c r="L40" s="24"/>
      <c r="M40" s="24">
        <f>SUM(M20:M39)</f>
        <v>6.2839999999999998</v>
      </c>
      <c r="N40" s="24"/>
    </row>
    <row r="41" spans="1:14" ht="16.2" thickTop="1"/>
  </sheetData>
  <mergeCells count="8">
    <mergeCell ref="L18:L19"/>
    <mergeCell ref="M18:M19"/>
    <mergeCell ref="D1:I4"/>
    <mergeCell ref="C8:D8"/>
    <mergeCell ref="G8:H8"/>
    <mergeCell ref="C9:D9"/>
    <mergeCell ref="C10:D10"/>
    <mergeCell ref="C11:D11"/>
  </mergeCells>
  <phoneticPr fontId="8" type="noConversion"/>
  <pageMargins left="0.70866141732283472" right="0.70866141732283472" top="0.74803149606299213" bottom="0.74803149606299213" header="0.31496062992125984" footer="0.31496062992125984"/>
  <pageSetup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PL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MTX - VH</dc:creator>
  <cp:lastModifiedBy>PC</cp:lastModifiedBy>
  <cp:lastPrinted>2025-09-04T15:02:54Z</cp:lastPrinted>
  <dcterms:created xsi:type="dcterms:W3CDTF">2016-09-08T15:27:58Z</dcterms:created>
  <dcterms:modified xsi:type="dcterms:W3CDTF">2026-04-28T10:24:32Z</dcterms:modified>
</cp:coreProperties>
</file>