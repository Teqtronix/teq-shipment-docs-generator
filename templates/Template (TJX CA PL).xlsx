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/>
  <mc:AlternateContent xmlns:mc="http://schemas.openxmlformats.org/markup-compatibility/2006">
    <mc:Choice Requires="x15">
      <x15ac:absPath xmlns:x15ac="http://schemas.microsoft.com/office/spreadsheetml/2010/11/ac" url="C:\Users\Karson\Desktop\TJX CA FOB Oct 14-22\Labels\TJX CA FOB Oct 14\PL\"/>
    </mc:Choice>
  </mc:AlternateContent>
  <xr:revisionPtr revIDLastSave="0" documentId="13_ncr:1_{4B5EDD8F-D35D-4C92-ACF9-E235F9FE75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20" i="1" l="1"/>
  <c r="G39" i="1"/>
  <c r="K39" i="1"/>
  <c r="F39" i="1" l="1"/>
  <c r="C16" i="1"/>
</calcChain>
</file>

<file path=xl/sharedStrings.xml><?xml version="1.0" encoding="utf-8"?>
<sst xmlns="http://schemas.openxmlformats.org/spreadsheetml/2006/main" count="35" uniqueCount="34">
  <si>
    <t>Teqtronix International Inc.</t>
  </si>
  <si>
    <t>Order Date:</t>
  </si>
  <si>
    <t xml:space="preserve">Shipper Reference </t>
  </si>
  <si>
    <t>Purchase Order:</t>
  </si>
  <si>
    <t xml:space="preserve">Carrier Name </t>
  </si>
  <si>
    <t>CTN #</t>
  </si>
  <si>
    <t>Item</t>
  </si>
  <si>
    <t>PO#</t>
  </si>
  <si>
    <t>Cartons</t>
  </si>
  <si>
    <t>Description</t>
  </si>
  <si>
    <t>Qty/CTN</t>
  </si>
  <si>
    <t xml:space="preserve">Total </t>
  </si>
  <si>
    <t>Shipper/Address:</t>
  </si>
  <si>
    <t>Grand Qty</t>
  </si>
  <si>
    <t>G.W</t>
  </si>
  <si>
    <t>Grand G.W</t>
  </si>
  <si>
    <t>Means/CTN</t>
  </si>
  <si>
    <t>Grand Volume</t>
  </si>
  <si>
    <t>KGS</t>
  </si>
  <si>
    <t xml:space="preserve">9099 LESLIE ST UNIT C, </t>
    <phoneticPr fontId="8" type="noConversion"/>
  </si>
  <si>
    <t xml:space="preserve">RICHMOND HILL ON, </t>
    <phoneticPr fontId="8" type="noConversion"/>
  </si>
  <si>
    <t xml:space="preserve">L4B1K9. </t>
    <phoneticPr fontId="8" type="noConversion"/>
  </si>
  <si>
    <t>TEQTRONIX PO</t>
    <phoneticPr fontId="8" type="noConversion"/>
  </si>
  <si>
    <t>Packing Slip</t>
    <phoneticPr fontId="8" type="noConversion"/>
  </si>
  <si>
    <t>Ship to:</t>
    <phoneticPr fontId="8" type="noConversion"/>
  </si>
  <si>
    <t xml:space="preserve">Tel: </t>
  </si>
  <si>
    <t>WINNERS MERCHANTS INTERNATIONAL LP</t>
  </si>
  <si>
    <t xml:space="preserve"> </t>
  </si>
  <si>
    <t>ASLMHWPK</t>
  </si>
  <si>
    <t>Artikl Single Layer Migraine Head Wrap - Pink</t>
  </si>
  <si>
    <t>42*41*33.5cm</t>
  </si>
  <si>
    <t>292190 Nose Creek Blvd</t>
  </si>
  <si>
    <t>Rocky View County, AB, T4A 3N7</t>
  </si>
  <si>
    <t>1-20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</si>
</sst>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mmm\ d\,\ yyyy;@"/>
    <numFmt numFmtId="165" formatCode="0.00&quot; &quot;"/>
    <numFmt numFmtId="166" formatCode="0.000&quot; &quot;"/>
  </numFmts>
  <fonts count="13"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2"/>
      <color theme="1"/>
      <name val="Arial"/>
      <family val="2"/>
    </font>
    <font>
      <b/>
      <sz val="12"/>
      <color indexed="23"/>
      <name val="Arial"/>
      <family val="2"/>
    </font>
    <font>
      <b/>
      <sz val="12"/>
      <color theme="1"/>
      <name val="Tahoma"/>
      <family val="2"/>
    </font>
    <font>
      <sz val="12"/>
      <color theme="1"/>
      <name val="Tahoma"/>
      <family val="2"/>
    </font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2"/>
      <color theme="1"/>
      <name val="Arial"/>
      <family val="2"/>
    </font>
    <font>
      <b/>
      <sz val="48"/>
      <color theme="1"/>
      <name val="Arial"/>
      <family val="2"/>
    </font>
    <font>
      <sz val="48"/>
      <color theme="1"/>
      <name val="Arial"/>
      <family val="2"/>
    </font>
    <font>
      <sz val="12"/>
      <color indexed="8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auto="1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7" fillId="0" borderId="0"/>
    <xf numFmtId="0" fontId="9" fillId="0" borderId="0"/>
    <xf numFmtId="0" fontId="12" fillId="0" borderId="0" applyNumberFormat="0" applyFill="0" applyBorder="0" applyProtection="0">
      <alignment vertical="top" wrapText="1"/>
    </xf>
  </cellStyleXfs>
  <cellXfs count="38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5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  <xf numFmtId="0" fontId="3" fillId="4" borderId="0" xfId="0" applyFont="1" applyFill="1" applyAlignment="1">
      <alignment horizontal="center" vertical="center"/>
    </xf>
    <xf numFmtId="0" fontId="6" fillId="0" borderId="0" xfId="0" applyFont="1" applyAlignment="1">
      <alignment horizontal="left"/>
    </xf>
    <xf numFmtId="165" fontId="3" fillId="0" borderId="0" xfId="0" applyNumberFormat="1" applyFont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/>
    </xf>
    <xf numFmtId="2" fontId="2" fillId="3" borderId="1" xfId="0" applyNumberFormat="1" applyFont="1" applyFill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/>
    </xf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</cellXfs>
  <cellStyles count="4">
    <cellStyle name="Normal" xfId="0" builtinId="0"/>
    <cellStyle name="Normal 2" xfId="2" xr:uid="{BB2F9166-D2FF-46C8-A685-DD407517715F}"/>
    <cellStyle name="Normal 23" xfId="1" xr:uid="{00000000-0005-0000-0000-000001000000}"/>
    <cellStyle name="Normal 3" xfId="3" xr:uid="{A74D8D9A-5D49-423B-9C71-A49D0329209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421822</xdr:colOff>
      <xdr:row>0</xdr:row>
      <xdr:rowOff>81642</xdr:rowOff>
    </xdr:from>
    <xdr:to>
      <xdr:col>2</xdr:col>
      <xdr:colOff>1009760</xdr:colOff>
      <xdr:row>4</xdr:row>
      <xdr:rowOff>61421</xdr:rowOff>
    </xdr:to>
    <xdr:pic>
      <xdr:nvPicPr>
        <xdr:cNvPr id="2" name="Picture 1" descr="big_logo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21822" y="81642"/>
          <a:ext cx="3022016" cy="77906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39"/>
  <sheetViews>
    <sheetView tabSelected="1" topLeftCell="A11" zoomScale="70" zoomScaleNormal="70" workbookViewId="0">
      <selection activeCell="L23" sqref="L23"/>
    </sheetView>
  </sheetViews>
  <sheetFormatPr defaultColWidth="8.7109375" defaultRowHeight="15.75"/>
  <cols>
    <col min="1" max="1" width="8.5703125" style="26" bestFit="1" customWidth="1"/>
    <col min="2" max="2" width="23.42578125" style="1" bestFit="1" customWidth="1"/>
    <col min="3" max="3" width="32.140625" style="1" bestFit="1" customWidth="1"/>
    <col min="4" max="4" width="54.5703125" style="9" bestFit="1" customWidth="1"/>
    <col min="5" max="5" width="10.42578125" style="1" bestFit="1" customWidth="1"/>
    <col min="6" max="6" width="10.28515625" style="1" bestFit="1" customWidth="1"/>
    <col min="7" max="7" width="12.42578125" style="1" bestFit="1" customWidth="1"/>
    <col min="8" max="8" width="7" style="1" bestFit="1" customWidth="1"/>
    <col min="9" max="9" width="13" style="1" bestFit="1" customWidth="1"/>
    <col min="10" max="10" width="27.7109375" style="1" bestFit="1" customWidth="1"/>
    <col min="11" max="11" width="13" style="1" bestFit="1" customWidth="1"/>
    <col min="12" max="12" width="19.5703125" style="1" bestFit="1" customWidth="1"/>
    <col min="13" max="13" width="17.7109375" style="1" bestFit="1" customWidth="1"/>
    <col min="14" max="14" width="18.85546875" style="1" bestFit="1" customWidth="1"/>
    <col min="15" max="16384" width="8.7109375" style="1"/>
  </cols>
  <sheetData>
    <row r="1" spans="1:12">
      <c r="A1" s="25"/>
      <c r="B1"/>
      <c r="C1"/>
      <c r="D1" s="34" t="s">
        <v>23</v>
      </c>
      <c r="E1" s="35"/>
      <c r="F1" s="35"/>
      <c r="G1" s="35"/>
      <c r="H1" s="35"/>
      <c r="I1" s="35"/>
    </row>
    <row r="2" spans="1:12">
      <c r="A2" s="25"/>
      <c r="B2"/>
      <c r="C2"/>
      <c r="D2" s="35"/>
      <c r="E2" s="35"/>
      <c r="F2" s="35"/>
      <c r="G2" s="35"/>
      <c r="H2" s="35"/>
      <c r="I2" s="35"/>
    </row>
    <row r="3" spans="1:12">
      <c r="A3" s="25"/>
      <c r="B3"/>
      <c r="C3"/>
      <c r="D3" s="35"/>
      <c r="E3" s="35"/>
      <c r="F3" s="35"/>
      <c r="G3" s="35"/>
      <c r="H3" s="35"/>
      <c r="I3" s="35"/>
    </row>
    <row r="4" spans="1:12">
      <c r="A4" s="25"/>
      <c r="B4"/>
      <c r="C4"/>
      <c r="D4" s="35"/>
      <c r="E4" s="35"/>
      <c r="F4" s="35"/>
      <c r="G4" s="35"/>
      <c r="H4" s="35"/>
      <c r="I4" s="35"/>
    </row>
    <row r="5" spans="1:12">
      <c r="A5" s="25"/>
      <c r="B5"/>
      <c r="C5"/>
      <c r="D5"/>
      <c r="E5"/>
      <c r="F5"/>
      <c r="G5"/>
    </row>
    <row r="6" spans="1:12">
      <c r="A6" s="25"/>
      <c r="B6"/>
      <c r="C6"/>
      <c r="D6"/>
      <c r="E6"/>
      <c r="F6"/>
      <c r="G6"/>
    </row>
    <row r="7" spans="1:12">
      <c r="A7" s="25"/>
      <c r="B7"/>
      <c r="C7"/>
      <c r="D7"/>
      <c r="E7"/>
      <c r="F7"/>
      <c r="G7"/>
    </row>
    <row r="8" spans="1:12">
      <c r="B8" s="3" t="s">
        <v>12</v>
      </c>
      <c r="C8" s="10" t="s">
        <v>0</v>
      </c>
      <c r="D8"/>
      <c r="E8"/>
      <c r="F8"/>
      <c r="G8"/>
      <c r="H8" s="10"/>
      <c r="I8" s="13" t="s">
        <v>24</v>
      </c>
      <c r="J8" s="15" t="s">
        <v>26</v>
      </c>
    </row>
    <row r="9" spans="1:12">
      <c r="B9" s="3"/>
      <c r="C9" s="7" t="s">
        <v>19</v>
      </c>
      <c r="F9" s="4"/>
      <c r="H9" s="10"/>
      <c r="I9" s="8"/>
      <c r="J9" s="20" t="s">
        <v>31</v>
      </c>
      <c r="L9" s="9"/>
    </row>
    <row r="10" spans="1:12">
      <c r="B10" s="3"/>
      <c r="C10" s="7" t="s">
        <v>20</v>
      </c>
      <c r="F10" s="4"/>
      <c r="H10" s="10"/>
      <c r="I10" s="8"/>
      <c r="J10" s="20" t="s">
        <v>32</v>
      </c>
      <c r="L10" s="9"/>
    </row>
    <row r="11" spans="1:12">
      <c r="B11" s="3"/>
      <c r="C11" s="7" t="s">
        <v>21</v>
      </c>
      <c r="F11" s="4"/>
      <c r="H11" s="10"/>
      <c r="I11" s="8"/>
      <c r="J11" s="9" t="s">
        <v>25</v>
      </c>
      <c r="L11" s="9"/>
    </row>
    <row r="12" spans="1:12">
      <c r="B12" s="3"/>
      <c r="C12" s="7"/>
      <c r="D12" s="8"/>
      <c r="E12" s="9"/>
      <c r="F12" s="4"/>
      <c r="H12" s="11"/>
    </row>
    <row r="13" spans="1:12">
      <c r="B13" s="3"/>
      <c r="C13" s="3"/>
      <c r="D13" s="8"/>
      <c r="E13" s="12"/>
      <c r="F13" s="4"/>
      <c r="H13" s="9"/>
    </row>
    <row r="14" spans="1:12">
      <c r="B14" s="7" t="s">
        <v>1</v>
      </c>
      <c r="C14" s="5"/>
      <c r="D14" s="8"/>
      <c r="E14" s="12"/>
      <c r="F14" s="3"/>
    </row>
    <row r="15" spans="1:12">
      <c r="B15" s="7" t="s">
        <v>2</v>
      </c>
      <c r="C15" s="6"/>
      <c r="D15" s="8"/>
      <c r="E15" s="2"/>
      <c r="F15" s="3"/>
    </row>
    <row r="16" spans="1:12">
      <c r="B16" s="7" t="s">
        <v>3</v>
      </c>
      <c r="C16" s="14">
        <f>C20</f>
        <v>40404599</v>
      </c>
      <c r="D16" s="8"/>
      <c r="E16" s="2"/>
      <c r="F16" s="2"/>
    </row>
    <row r="17" spans="1:14">
      <c r="B17" s="7" t="s">
        <v>4</v>
      </c>
      <c r="D17" s="8"/>
      <c r="E17" s="2"/>
      <c r="F17" s="2"/>
    </row>
    <row r="18" spans="1:14">
      <c r="B18" s="3"/>
      <c r="C18" s="3"/>
      <c r="D18" s="8"/>
      <c r="E18" s="2"/>
      <c r="F18" s="2"/>
      <c r="H18" s="16" t="s">
        <v>14</v>
      </c>
      <c r="I18" s="16" t="s">
        <v>15</v>
      </c>
      <c r="J18" s="36" t="s">
        <v>16</v>
      </c>
      <c r="K18" s="36" t="s">
        <v>17</v>
      </c>
    </row>
    <row r="19" spans="1:14">
      <c r="A19" s="27" t="s">
        <v>5</v>
      </c>
      <c r="B19" s="16" t="s">
        <v>6</v>
      </c>
      <c r="C19" s="16" t="s">
        <v>7</v>
      </c>
      <c r="D19" s="18" t="s">
        <v>9</v>
      </c>
      <c r="E19" s="16" t="s">
        <v>10</v>
      </c>
      <c r="F19" s="16" t="s">
        <v>8</v>
      </c>
      <c r="G19" s="16" t="s">
        <v>13</v>
      </c>
      <c r="H19" s="16" t="s">
        <v>18</v>
      </c>
      <c r="I19" s="16" t="s">
        <v>18</v>
      </c>
      <c r="J19" s="37"/>
      <c r="K19" s="37"/>
      <c r="L19" s="19" t="s">
        <v>22</v>
      </c>
    </row>
    <row r="20" spans="1:14">
      <c r="A20" s="31" t="s">
        <v>33</v>
      </c>
      <c r="B20" s="32" t="s">
        <v>28</v>
      </c>
      <c r="C20" s="14">
        <v>40404599</v>
      </c>
      <c r="D20" s="14" t="s">
        <v>29</v>
      </c>
      <c r="E20" s="14">
        <v>60</v>
      </c>
      <c r="F20" s="33">
        <v>20</v>
      </c>
      <c r="G20" s="32">
        <v>1200</v>
      </c>
      <c r="H20" s="24">
        <f>I20/F20</f>
        <v>13.919999999999998</v>
      </c>
      <c r="I20" s="24">
        <v>278.39999999999998</v>
      </c>
      <c r="J20" s="14" t="s">
        <v>30</v>
      </c>
      <c r="K20" s="14">
        <v>1.1539999999999999</v>
      </c>
      <c r="L20" s="14">
        <v>10357</v>
      </c>
      <c r="N20" s="30"/>
    </row>
    <row r="21" spans="1:14">
      <c r="A21" s="31"/>
      <c r="B21" s="32"/>
      <c r="C21" s="14"/>
      <c r="D21" s="14"/>
      <c r="E21" s="14"/>
      <c r="F21" s="33"/>
      <c r="G21" s="32"/>
      <c r="H21" s="24"/>
      <c r="I21" s="24"/>
      <c r="J21" s="14"/>
      <c r="K21" s="14"/>
      <c r="L21" s="14"/>
      <c r="N21" s="30"/>
    </row>
    <row r="22" spans="1:14">
      <c r="A22" s="31"/>
      <c r="B22" s="32"/>
      <c r="C22" s="14"/>
      <c r="D22" s="14"/>
      <c r="E22" s="14"/>
      <c r="F22" s="33"/>
      <c r="G22" s="32"/>
      <c r="H22" s="24"/>
      <c r="I22" s="24"/>
      <c r="J22" s="14"/>
      <c r="K22" s="14"/>
      <c r="L22" s="14"/>
      <c r="N22" s="21"/>
    </row>
    <row r="23" spans="1:14">
      <c r="A23" s="31"/>
      <c r="B23" s="32"/>
      <c r="C23" s="32"/>
      <c r="D23" s="32"/>
      <c r="E23" s="32"/>
      <c r="F23" s="33"/>
      <c r="G23" s="32"/>
      <c r="H23" s="24"/>
      <c r="I23" s="24"/>
      <c r="J23" s="14"/>
      <c r="K23" s="14"/>
      <c r="L23" s="32"/>
      <c r="N23" s="21"/>
    </row>
    <row r="24" spans="1:14">
      <c r="A24" s="28"/>
      <c r="B24" s="14"/>
      <c r="C24" s="14"/>
      <c r="D24" s="14"/>
      <c r="E24" s="14"/>
      <c r="F24" s="14"/>
      <c r="G24" s="14"/>
      <c r="H24" s="23"/>
      <c r="I24" s="23"/>
      <c r="J24" s="17"/>
      <c r="K24" s="22"/>
      <c r="L24" s="14"/>
    </row>
    <row r="25" spans="1:14">
      <c r="A25" s="28"/>
      <c r="B25" s="14"/>
      <c r="C25" s="14"/>
      <c r="D25" s="14"/>
      <c r="E25" s="14"/>
      <c r="F25" s="14"/>
      <c r="G25" s="14"/>
      <c r="H25" s="23"/>
      <c r="I25" s="23"/>
      <c r="J25" s="17"/>
      <c r="K25" s="22"/>
      <c r="L25" s="14"/>
      <c r="N25" s="21"/>
    </row>
    <row r="26" spans="1:14">
      <c r="A26" s="28"/>
      <c r="B26" s="14"/>
      <c r="C26" s="14"/>
      <c r="D26" s="14"/>
      <c r="E26" s="14"/>
      <c r="F26" s="14"/>
      <c r="G26" s="14"/>
      <c r="H26" s="23"/>
      <c r="I26" s="23"/>
      <c r="J26" s="17"/>
      <c r="K26" s="22"/>
      <c r="L26" s="14"/>
      <c r="N26" s="21"/>
    </row>
    <row r="27" spans="1:14">
      <c r="A27" s="28"/>
      <c r="B27" s="14"/>
      <c r="C27" s="14"/>
      <c r="D27" s="14"/>
      <c r="E27" s="14"/>
      <c r="F27" s="14"/>
      <c r="G27" s="14"/>
      <c r="H27" s="23"/>
      <c r="I27" s="23"/>
      <c r="J27" s="17"/>
      <c r="K27" s="22"/>
      <c r="L27" s="14"/>
    </row>
    <row r="28" spans="1:14">
      <c r="A28" s="28"/>
      <c r="B28" s="14"/>
      <c r="C28" s="14"/>
      <c r="D28" s="14"/>
      <c r="E28" s="14"/>
      <c r="F28" s="14"/>
      <c r="G28" s="14"/>
      <c r="H28" s="23"/>
      <c r="I28" s="23"/>
      <c r="J28" s="17"/>
      <c r="K28" s="22"/>
      <c r="L28" s="14"/>
    </row>
    <row r="29" spans="1:14">
      <c r="A29" s="28"/>
      <c r="B29" s="14"/>
      <c r="C29" s="14"/>
      <c r="D29" s="14"/>
      <c r="E29" s="14"/>
      <c r="F29" s="14"/>
      <c r="G29" s="14"/>
      <c r="H29" s="23"/>
      <c r="I29" s="23"/>
      <c r="J29" s="17" t="s">
        <v>27</v>
      </c>
      <c r="K29" s="22"/>
      <c r="L29" s="14"/>
    </row>
    <row r="30" spans="1:14">
      <c r="A30" s="28"/>
      <c r="B30" s="14"/>
      <c r="C30" s="14"/>
      <c r="D30" s="14"/>
      <c r="E30" s="14"/>
      <c r="F30" s="14"/>
      <c r="G30" s="14"/>
      <c r="H30" s="23"/>
      <c r="I30" s="23"/>
      <c r="J30" s="17"/>
      <c r="K30" s="22"/>
      <c r="L30" s="14"/>
    </row>
    <row r="31" spans="1:14">
      <c r="A31" s="28"/>
      <c r="B31" s="14"/>
      <c r="C31" s="14"/>
      <c r="D31" s="14"/>
      <c r="E31" s="14"/>
      <c r="F31" s="14"/>
      <c r="G31" s="14"/>
      <c r="H31" s="23"/>
      <c r="I31" s="23"/>
      <c r="J31" s="17"/>
      <c r="K31" s="22"/>
      <c r="L31" s="14"/>
    </row>
    <row r="32" spans="1:14">
      <c r="A32" s="28"/>
      <c r="B32" s="14"/>
      <c r="C32" s="14"/>
      <c r="D32" s="14"/>
      <c r="E32" s="14"/>
      <c r="F32" s="14"/>
      <c r="G32" s="14"/>
      <c r="H32" s="23"/>
      <c r="I32" s="23"/>
      <c r="J32" s="17"/>
      <c r="K32" s="22"/>
      <c r="L32" s="14"/>
    </row>
    <row r="33" spans="1:12">
      <c r="A33" s="28"/>
      <c r="B33" s="14"/>
      <c r="C33" s="14"/>
      <c r="D33" s="14"/>
      <c r="E33" s="14"/>
      <c r="F33" s="14"/>
      <c r="G33" s="14"/>
      <c r="H33" s="23"/>
      <c r="I33" s="23"/>
      <c r="J33" s="17"/>
      <c r="K33" s="22"/>
      <c r="L33" s="14"/>
    </row>
    <row r="34" spans="1:12">
      <c r="A34" s="28"/>
      <c r="B34" s="14"/>
      <c r="C34" s="14"/>
      <c r="D34" s="14"/>
      <c r="E34" s="14"/>
      <c r="F34" s="14"/>
      <c r="G34" s="14"/>
      <c r="H34" s="23"/>
      <c r="I34" s="23"/>
      <c r="J34" s="17"/>
      <c r="K34" s="22"/>
      <c r="L34" s="14"/>
    </row>
    <row r="35" spans="1:12">
      <c r="A35" s="28"/>
      <c r="B35" s="14"/>
      <c r="C35" s="14"/>
      <c r="D35" s="14"/>
      <c r="E35" s="14"/>
      <c r="F35" s="14"/>
      <c r="G35" s="14"/>
      <c r="H35" s="23"/>
      <c r="I35" s="23"/>
      <c r="J35" s="17"/>
      <c r="K35" s="22"/>
      <c r="L35" s="14"/>
    </row>
    <row r="36" spans="1:12">
      <c r="A36" s="28"/>
      <c r="B36" s="14"/>
      <c r="C36" s="14"/>
      <c r="D36" s="14"/>
      <c r="E36" s="14"/>
      <c r="F36" s="14"/>
      <c r="G36" s="14"/>
      <c r="H36" s="23"/>
      <c r="I36" s="23"/>
      <c r="J36" s="17"/>
      <c r="K36" s="22"/>
      <c r="L36" s="14"/>
    </row>
    <row r="37" spans="1:12">
      <c r="A37" s="28"/>
      <c r="B37" s="14"/>
      <c r="C37" s="14"/>
      <c r="D37" s="14"/>
      <c r="E37" s="14"/>
      <c r="F37" s="14"/>
      <c r="G37" s="14"/>
      <c r="H37" s="23"/>
      <c r="I37" s="23"/>
      <c r="J37" s="17"/>
      <c r="K37" s="22"/>
      <c r="L37" s="14"/>
    </row>
    <row r="38" spans="1:12">
      <c r="A38" s="28"/>
      <c r="B38" s="14"/>
      <c r="C38" s="14"/>
      <c r="D38" s="14"/>
      <c r="E38" s="14"/>
      <c r="F38" s="14"/>
      <c r="G38" s="14"/>
      <c r="H38" s="23"/>
      <c r="I38" s="23"/>
      <c r="J38" s="17"/>
      <c r="K38" s="22"/>
      <c r="L38" s="14"/>
    </row>
    <row r="39" spans="1:12">
      <c r="E39" s="14" t="s">
        <v>11</v>
      </c>
      <c r="F39" s="29">
        <f>SUM(F20:F38)</f>
        <v>20</v>
      </c>
      <c r="G39" s="14">
        <f>SUM(G20:G38)</f>
        <v>1200</v>
      </c>
      <c r="H39" s="24"/>
      <c r="I39" s="24"/>
      <c r="J39" s="14"/>
      <c r="K39" s="14">
        <f>SUM(K20:K38)</f>
        <v>1.1539999999999999</v>
      </c>
    </row>
  </sheetData>
  <mergeCells count="3">
    <mergeCell ref="D1:I4"/>
    <mergeCell ref="J18:J19"/>
    <mergeCell ref="K18:K19"/>
  </mergeCells>
  <phoneticPr fontId="8" type="noConversion"/>
  <pageMargins left="0.70866141732283472" right="0.70866141732283472" top="0.74803149606299213" bottom="0.74803149606299213" header="0.31496062992125984" footer="0.31496062992125984"/>
  <pageSetup scale="4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MTX - VH</dc:creator>
  <cp:lastModifiedBy>Pawan Timilsena</cp:lastModifiedBy>
  <cp:lastPrinted>2019-12-12T16:26:20Z</cp:lastPrinted>
  <dcterms:created xsi:type="dcterms:W3CDTF">2016-09-08T15:27:58Z</dcterms:created>
  <dcterms:modified xsi:type="dcterms:W3CDTF">2025-10-09T13:52:04Z</dcterms:modified>
</cp:coreProperties>
</file>