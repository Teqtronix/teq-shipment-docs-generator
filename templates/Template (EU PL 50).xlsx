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480" yWindow="-4140" windowWidth="29040" windowHeight="15720" tabRatio="600" firstSheet="0" activeTab="0" autoFilterDateGrouping="1"/>
  </bookViews>
  <sheets>
    <sheet name="P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0.00&quot; &quot;"/>
    <numFmt numFmtId="166" formatCode="0.00;[Red]0.00"/>
  </numFmts>
  <fonts count="12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b val="1"/>
      <color indexed="8"/>
      <sz val="12"/>
    </font>
    <font>
      <name val="Arial"/>
      <family val="2"/>
      <b val="1"/>
      <color theme="1"/>
      <sz val="12"/>
    </font>
    <font>
      <name val="Arial"/>
      <family val="2"/>
      <b val="1"/>
      <color indexed="23"/>
      <sz val="12"/>
    </font>
    <font>
      <name val="Tahoma"/>
      <family val="2"/>
      <b val="1"/>
      <color theme="1"/>
      <sz val="12"/>
    </font>
    <font>
      <name val="Tahoma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charset val="134"/>
      <family val="3"/>
      <sz val="9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48"/>
    </font>
    <font>
      <name val="Arial"/>
      <family val="2"/>
      <color theme="1"/>
      <sz val="48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0" tint="-0.3499862666707358"/>
      </top>
      <bottom style="double">
        <color theme="0" tint="-0.3499862666707358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7" fillId="0" borderId="0"/>
    <xf numFmtId="0" fontId="7" fillId="0" borderId="0"/>
    <xf numFmtId="0" fontId="9" fillId="0" borderId="0"/>
  </cellStyleXfs>
  <cellXfs count="37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49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3" fillId="2" borderId="3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3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6" fillId="0" borderId="0" pivotButton="0" quotePrefix="0" xfId="0"/>
    <xf numFmtId="0" fontId="3" fillId="0" borderId="1" applyAlignment="1" pivotButton="0" quotePrefix="0" xfId="0">
      <alignment horizontal="center" vertical="center"/>
    </xf>
    <xf numFmtId="166" fontId="1" fillId="0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" fontId="2" fillId="2" borderId="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0" fillId="0" borderId="7" pivotButton="0" quotePrefix="0" xfId="0"/>
  </cellXfs>
  <cellStyles count="3">
    <cellStyle name="Normal" xfId="0" builtinId="0"/>
    <cellStyle name="Normal 23" xfId="1"/>
    <cellStyle name="Normal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421822</colOff>
      <row>0</row>
      <rowOff>81642</rowOff>
    </from>
    <to>
      <col>2</col>
      <colOff>822653</colOff>
      <row>4</row>
      <rowOff>57611</rowOff>
    </to>
    <pic>
      <nvPicPr>
        <cNvPr id="2" name="Picture 1" descr="big_logo.jpg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421822" y="83547"/>
          <a:ext cx="2782081" cy="77416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8"/>
  <sheetViews>
    <sheetView tabSelected="1" zoomScale="60" zoomScaleNormal="60" workbookViewId="0">
      <selection activeCell="D17" sqref="D17"/>
    </sheetView>
  </sheetViews>
  <sheetFormatPr baseColWidth="8" defaultColWidth="8.6640625" defaultRowHeight="15.6"/>
  <cols>
    <col width="10" bestFit="1" customWidth="1" style="1" min="1" max="1"/>
    <col width="24.6640625" bestFit="1" customWidth="1" style="1" min="2" max="2"/>
    <col width="15.5546875" bestFit="1" customWidth="1" style="1" min="3" max="3"/>
    <col width="86.77734375" customWidth="1" style="9" min="4" max="4"/>
    <col width="10.44140625" bestFit="1" customWidth="1" style="1" min="5" max="6"/>
    <col width="12.88671875" bestFit="1" customWidth="1" style="1" min="7" max="7"/>
    <col width="7.109375" bestFit="1" customWidth="1" style="1" min="8" max="8"/>
    <col width="13.6640625" bestFit="1" customWidth="1" style="1" min="9" max="9"/>
    <col width="11.21875" customWidth="1" style="1" min="10" max="10"/>
    <col width="14.6640625" customWidth="1" style="1" min="11" max="11"/>
    <col width="14.6640625" bestFit="1" customWidth="1" style="1" min="12" max="12"/>
    <col width="18.109375" customWidth="1" style="1" min="13" max="13"/>
    <col width="23.21875" customWidth="1" style="1" min="14" max="14"/>
    <col width="8.6640625" customWidth="1" style="1" min="15" max="16384"/>
  </cols>
  <sheetData>
    <row r="1">
      <c r="D1" s="32" t="inlineStr">
        <is>
          <t>Packing Slip</t>
        </is>
      </c>
    </row>
    <row r="2"/>
    <row r="3"/>
    <row r="4"/>
    <row r="5"/>
    <row r="6"/>
    <row r="7"/>
    <row r="8">
      <c r="B8" s="3" t="inlineStr">
        <is>
          <t>Shipper/Address:</t>
        </is>
      </c>
      <c r="C8" s="34" t="inlineStr">
        <is>
          <t>Teqtronix International Inc.</t>
        </is>
      </c>
      <c r="H8" s="10" t="n"/>
      <c r="I8" s="13" t="inlineStr">
        <is>
          <t>Ship to:</t>
        </is>
      </c>
      <c r="J8" s="35" t="inlineStr">
        <is>
          <t>TJX UK</t>
        </is>
      </c>
    </row>
    <row r="9">
      <c r="B9" s="3" t="n"/>
      <c r="C9" s="34" t="inlineStr">
        <is>
          <t xml:space="preserve">9099 LESLIE ST UNIT C, </t>
        </is>
      </c>
      <c r="F9" s="4" t="n"/>
      <c r="H9" s="10" t="n"/>
      <c r="I9" s="8" t="n"/>
      <c r="J9" s="27" t="inlineStr">
        <is>
          <t>73 Clarendon Road,</t>
        </is>
      </c>
      <c r="K9" s="27" t="n"/>
      <c r="L9" s="9" t="n"/>
    </row>
    <row r="10">
      <c r="B10" s="3" t="n"/>
      <c r="C10" s="34" t="inlineStr">
        <is>
          <t xml:space="preserve">RICHMOND HILL ON, </t>
        </is>
      </c>
      <c r="F10" s="4" t="n"/>
      <c r="H10" s="10" t="n"/>
      <c r="I10" s="8" t="n"/>
      <c r="J10" s="27" t="inlineStr">
        <is>
          <t xml:space="preserve">Watford, Herts, </t>
        </is>
      </c>
      <c r="K10" s="27" t="n"/>
      <c r="L10" s="9" t="n"/>
    </row>
    <row r="11">
      <c r="B11" s="3" t="n"/>
      <c r="C11" s="34" t="inlineStr">
        <is>
          <t xml:space="preserve">L4B1K9. </t>
        </is>
      </c>
      <c r="F11" s="4" t="n"/>
      <c r="H11" s="10" t="n"/>
      <c r="I11" s="8" t="n"/>
      <c r="J11" s="27" t="inlineStr">
        <is>
          <t>WD17 1TX UK</t>
        </is>
      </c>
      <c r="K11" s="27" t="n"/>
      <c r="L11" s="9" t="n"/>
    </row>
    <row r="12">
      <c r="B12" s="3" t="n"/>
      <c r="C12" s="34" t="n"/>
      <c r="D12" s="8" t="n"/>
      <c r="E12" s="9" t="n"/>
      <c r="F12" s="4" t="n"/>
      <c r="H12" s="11" t="n"/>
      <c r="J12" s="12" t="inlineStr">
        <is>
          <t>Tel: +44 (0) 1923 473000</t>
        </is>
      </c>
      <c r="K12" s="12" t="n"/>
    </row>
    <row r="13">
      <c r="B13" s="3" t="n"/>
      <c r="C13" s="3" t="n"/>
      <c r="D13" s="8" t="n"/>
      <c r="E13" s="12" t="n"/>
      <c r="F13" s="4" t="n"/>
      <c r="H13" s="9" t="n"/>
    </row>
    <row r="14">
      <c r="B14" s="34" t="inlineStr">
        <is>
          <t>Order Date:</t>
        </is>
      </c>
      <c r="C14" s="5" t="n"/>
      <c r="D14" s="8" t="n"/>
      <c r="E14" s="12" t="n"/>
      <c r="F14" s="3" t="n"/>
    </row>
    <row r="15">
      <c r="B15" s="34" t="inlineStr">
        <is>
          <t xml:space="preserve">Shipper Reference </t>
        </is>
      </c>
      <c r="C15" s="6" t="n"/>
      <c r="D15" s="8" t="n"/>
      <c r="E15" s="2" t="n"/>
      <c r="F15" s="3" t="n"/>
    </row>
    <row r="16">
      <c r="B16" s="34" t="inlineStr">
        <is>
          <t>Purchase Order:</t>
        </is>
      </c>
      <c r="C16" s="1">
        <f>B20</f>
        <v/>
      </c>
      <c r="D16" s="8" t="n"/>
      <c r="E16" s="2" t="n"/>
      <c r="F16" s="2" t="n"/>
    </row>
    <row r="17">
      <c r="B17" s="34" t="inlineStr">
        <is>
          <t xml:space="preserve">Carrier Name </t>
        </is>
      </c>
      <c r="D17" s="8" t="n"/>
      <c r="E17" s="2" t="n"/>
      <c r="F17" s="2" t="n"/>
    </row>
    <row r="18">
      <c r="A18" s="16" t="n"/>
      <c r="B18" s="3" t="n"/>
      <c r="C18" s="3" t="n"/>
      <c r="D18" s="8" t="n"/>
      <c r="E18" s="2" t="n"/>
      <c r="F18" s="2" t="n"/>
      <c r="H18" s="30" t="inlineStr">
        <is>
          <t>N.W</t>
        </is>
      </c>
      <c r="I18" s="30" t="inlineStr">
        <is>
          <t>Grand N.W</t>
        </is>
      </c>
      <c r="J18" s="30" t="inlineStr">
        <is>
          <t>G.W</t>
        </is>
      </c>
      <c r="K18" s="30" t="inlineStr">
        <is>
          <t>Grand G.W</t>
        </is>
      </c>
      <c r="L18" s="30" t="inlineStr">
        <is>
          <t>Means/CTN</t>
        </is>
      </c>
      <c r="M18" s="30" t="inlineStr">
        <is>
          <t>Grand Volume</t>
        </is>
      </c>
    </row>
    <row r="19">
      <c r="A19" s="20" t="inlineStr">
        <is>
          <t>CTN #</t>
        </is>
      </c>
      <c r="B19" s="21" t="inlineStr">
        <is>
          <t>PO#</t>
        </is>
      </c>
      <c r="C19" s="21" t="inlineStr">
        <is>
          <t>Item</t>
        </is>
      </c>
      <c r="D19" s="22" t="inlineStr">
        <is>
          <t>Description</t>
        </is>
      </c>
      <c r="E19" s="21" t="inlineStr">
        <is>
          <t>Qty/CTN</t>
        </is>
      </c>
      <c r="F19" s="21" t="inlineStr">
        <is>
          <t>Cartons</t>
        </is>
      </c>
      <c r="G19" s="21" t="inlineStr">
        <is>
          <t>Grand Qty</t>
        </is>
      </c>
      <c r="H19" s="21" t="inlineStr">
        <is>
          <t>KGS</t>
        </is>
      </c>
      <c r="I19" s="21" t="inlineStr">
        <is>
          <t>KGS</t>
        </is>
      </c>
      <c r="J19" s="21" t="inlineStr">
        <is>
          <t>KGS</t>
        </is>
      </c>
      <c r="K19" s="21" t="inlineStr">
        <is>
          <t>KGS</t>
        </is>
      </c>
      <c r="L19" s="36" t="n"/>
      <c r="M19" s="36" t="n"/>
      <c r="N19" s="15" t="inlineStr">
        <is>
          <t>TEQTRONIX PO</t>
        </is>
      </c>
    </row>
    <row r="20">
      <c r="A20" s="28">
        <f>IF(F20=1,SUM($F$20:F20),SUM($F$20:F20)-F20+1 &amp; "-" &amp; SUM($F$20:F20))</f>
        <v/>
      </c>
      <c r="B20" s="24" t="inlineStr">
        <is>
          <t>50800043</t>
        </is>
      </c>
      <c r="C20" s="23" t="inlineStr">
        <is>
          <t>UABLNFDP</t>
        </is>
      </c>
      <c r="D20" s="23" t="inlineStr">
        <is>
          <t>Artikl Bladeless Neck Fan with Adjustable Neckband - Dark Pink</t>
        </is>
      </c>
      <c r="E20" s="24" t="n">
        <v>32</v>
      </c>
      <c r="F20" s="24" t="n">
        <v>30</v>
      </c>
      <c r="G20" s="24" t="n">
        <v>960</v>
      </c>
      <c r="H20" s="24" t="n">
        <v>14.36</v>
      </c>
      <c r="I20" s="24" t="n">
        <v>430.8</v>
      </c>
      <c r="J20" s="29" t="n">
        <v>15.36</v>
      </c>
      <c r="K20" s="24" t="n">
        <v>460.8</v>
      </c>
      <c r="L20" s="24" t="inlineStr">
        <is>
          <t>605*470*620</t>
        </is>
      </c>
      <c r="M20" s="24" t="n">
        <v>5.289</v>
      </c>
      <c r="N20" s="24" t="n">
        <v>10722</v>
      </c>
      <c r="P20" s="17" t="n"/>
    </row>
    <row r="21">
      <c r="A21" s="28">
        <f>IF(F21=1,SUM($F$20:F21),SUM($F$20:F21)-F21+1 &amp; "-" &amp; SUM($F$20:F21))</f>
        <v/>
      </c>
      <c r="B21" s="24" t="inlineStr">
        <is>
          <t>50800043</t>
        </is>
      </c>
      <c r="C21" s="23" t="inlineStr">
        <is>
          <t>UPNFCDBL</t>
        </is>
      </c>
      <c r="D21" s="23" t="inlineStr">
        <is>
          <t>Powerology Neck Fan with Cooling Plate &amp; LED Digital Display - Blue</t>
        </is>
      </c>
      <c r="E21" s="24" t="n">
        <v>28</v>
      </c>
      <c r="F21" s="24" t="n">
        <v>21</v>
      </c>
      <c r="G21" s="24" t="n">
        <v>588</v>
      </c>
      <c r="H21" s="24" t="n">
        <v>12.44</v>
      </c>
      <c r="I21" s="24" t="n">
        <v>261.24</v>
      </c>
      <c r="J21" s="29" t="n">
        <v>13.44</v>
      </c>
      <c r="K21" s="24" t="n">
        <v>282.24</v>
      </c>
      <c r="L21" s="24" t="inlineStr">
        <is>
          <t>720*470*475</t>
        </is>
      </c>
      <c r="M21" s="24" t="n">
        <v>3.376</v>
      </c>
      <c r="N21" s="24" t="n">
        <v>10723</v>
      </c>
      <c r="P21" s="17" t="n"/>
    </row>
    <row r="22">
      <c r="A22" s="28">
        <f>IF(F22=1,SUM($F$20:F22),SUM($F$20:F22)-F22+1 &amp; "-" &amp; SUM($F$20:F22))</f>
        <v/>
      </c>
      <c r="B22" s="24" t="inlineStr">
        <is>
          <t>50800043</t>
        </is>
      </c>
      <c r="C22" s="23" t="inlineStr">
        <is>
          <t>UPNFCDBL</t>
        </is>
      </c>
      <c r="D22" s="23" t="inlineStr">
        <is>
          <t>Powerology Neck Fan with Cooling Plate &amp; LED Digital Display - Blue</t>
        </is>
      </c>
      <c r="E22" s="24" t="n">
        <v>12</v>
      </c>
      <c r="F22" s="24" t="n">
        <v>1</v>
      </c>
      <c r="G22" s="24" t="n">
        <v>12</v>
      </c>
      <c r="H22" s="24" t="n">
        <v>4.76</v>
      </c>
      <c r="I22" s="24" t="n">
        <v>4.76</v>
      </c>
      <c r="J22" s="29" t="n">
        <v>5.76</v>
      </c>
      <c r="K22" s="24" t="n">
        <v>5.76</v>
      </c>
      <c r="L22" s="24" t="inlineStr">
        <is>
          <t>720*470*475</t>
        </is>
      </c>
      <c r="M22" s="24" t="n">
        <v>0.161</v>
      </c>
      <c r="N22" s="24" t="n">
        <v>10723</v>
      </c>
      <c r="P22" s="17" t="n"/>
    </row>
    <row r="23">
      <c r="A23" s="28" t="n"/>
      <c r="B23" s="24" t="n"/>
      <c r="C23" s="23" t="n"/>
      <c r="D23" s="23" t="n"/>
      <c r="E23" s="24" t="n"/>
      <c r="F23" s="24" t="n"/>
      <c r="G23" s="24" t="n"/>
      <c r="H23" s="24" t="n"/>
      <c r="I23" s="24" t="n"/>
      <c r="J23" s="29" t="n"/>
      <c r="K23" s="24" t="n"/>
      <c r="L23" s="24" t="n"/>
      <c r="M23" s="24" t="n"/>
      <c r="N23" s="24" t="n"/>
      <c r="P23" s="17" t="n"/>
    </row>
    <row r="24">
      <c r="A24" s="28" t="n"/>
      <c r="B24" s="24" t="n"/>
      <c r="C24" s="23" t="n"/>
      <c r="D24" s="23" t="n"/>
      <c r="E24" s="24" t="n"/>
      <c r="F24" s="24" t="n"/>
      <c r="G24" s="24" t="n"/>
      <c r="H24" s="24" t="n"/>
      <c r="I24" s="24" t="n"/>
      <c r="J24" s="29" t="n"/>
      <c r="K24" s="24" t="n"/>
      <c r="L24" s="24" t="n"/>
      <c r="M24" s="24" t="n"/>
      <c r="N24" s="24" t="n"/>
    </row>
    <row r="25">
      <c r="A25" s="28" t="n"/>
      <c r="B25" s="24" t="n"/>
      <c r="C25" s="23" t="n"/>
      <c r="D25" s="23" t="n"/>
      <c r="E25" s="24" t="n"/>
      <c r="F25" s="24" t="n"/>
      <c r="G25" s="24" t="n"/>
      <c r="H25" s="24" t="n"/>
      <c r="I25" s="24" t="n"/>
      <c r="J25" s="29" t="n"/>
      <c r="K25" s="24" t="n"/>
      <c r="L25" s="24" t="n"/>
      <c r="M25" s="24" t="n"/>
      <c r="N25" s="24" t="n"/>
    </row>
    <row r="26">
      <c r="A26" s="28" t="n"/>
      <c r="B26" s="24" t="n"/>
      <c r="C26" s="23" t="n"/>
      <c r="D26" s="23" t="n"/>
      <c r="E26" s="24" t="n"/>
      <c r="F26" s="24" t="n"/>
      <c r="G26" s="24" t="n"/>
      <c r="H26" s="24" t="n"/>
      <c r="I26" s="24" t="n"/>
      <c r="J26" s="29" t="n"/>
      <c r="K26" s="24" t="n"/>
      <c r="L26" s="24" t="n"/>
      <c r="M26" s="24" t="n"/>
      <c r="N26" s="24" t="n"/>
    </row>
    <row r="27">
      <c r="A27" s="28" t="n"/>
      <c r="B27" s="24" t="n"/>
      <c r="C27" s="23" t="n"/>
      <c r="D27" s="23" t="n"/>
      <c r="E27" s="24" t="n"/>
      <c r="F27" s="24" t="n"/>
      <c r="G27" s="24" t="n"/>
      <c r="H27" s="24" t="n"/>
      <c r="I27" s="24" t="n"/>
      <c r="J27" s="29" t="n"/>
      <c r="K27" s="24" t="n"/>
      <c r="L27" s="24" t="n"/>
      <c r="M27" s="24" t="n"/>
      <c r="N27" s="24" t="n"/>
    </row>
    <row r="28">
      <c r="A28" s="28" t="n"/>
      <c r="B28" s="24" t="n"/>
      <c r="C28" s="23" t="n"/>
      <c r="D28" s="23" t="n"/>
      <c r="E28" s="24" t="n"/>
      <c r="F28" s="24" t="n"/>
      <c r="G28" s="24" t="n"/>
      <c r="H28" s="24" t="n"/>
      <c r="I28" s="24" t="n"/>
      <c r="J28" s="29" t="n"/>
      <c r="K28" s="24" t="n"/>
      <c r="L28" s="24" t="n"/>
      <c r="M28" s="24" t="n"/>
      <c r="N28" s="24" t="n"/>
    </row>
    <row r="29">
      <c r="A29" s="28" t="n"/>
      <c r="B29" s="24" t="n"/>
      <c r="C29" s="23" t="n"/>
      <c r="D29" s="23" t="n"/>
      <c r="E29" s="24" t="n"/>
      <c r="F29" s="24" t="n"/>
      <c r="G29" s="24" t="n"/>
      <c r="H29" s="24" t="n"/>
      <c r="I29" s="24" t="n"/>
      <c r="J29" s="29" t="n"/>
      <c r="K29" s="24" t="n"/>
      <c r="L29" s="24" t="n"/>
      <c r="M29" s="24" t="n"/>
      <c r="N29" s="24" t="n"/>
    </row>
    <row r="30">
      <c r="A30" s="28" t="n"/>
      <c r="B30" s="24" t="n"/>
      <c r="C30" s="23" t="n"/>
      <c r="D30" s="23" t="n"/>
      <c r="E30" s="24" t="n"/>
      <c r="F30" s="24" t="n"/>
      <c r="G30" s="24" t="n"/>
      <c r="H30" s="24" t="n"/>
      <c r="I30" s="24" t="n"/>
      <c r="J30" s="29" t="n"/>
      <c r="K30" s="24" t="n"/>
      <c r="L30" s="24" t="n"/>
      <c r="M30" s="24" t="n"/>
      <c r="N30" s="24" t="n"/>
    </row>
    <row r="31">
      <c r="A31" s="28" t="n"/>
      <c r="B31" s="24" t="n"/>
      <c r="C31" s="23" t="n"/>
      <c r="D31" s="23" t="n"/>
      <c r="E31" s="24" t="n"/>
      <c r="F31" s="24" t="n"/>
      <c r="G31" s="24" t="n"/>
      <c r="H31" s="24" t="n"/>
      <c r="I31" s="24" t="n"/>
      <c r="J31" s="29" t="n"/>
      <c r="K31" s="24" t="n"/>
      <c r="L31" s="24" t="n"/>
      <c r="M31" s="24" t="n"/>
      <c r="N31" s="24" t="n"/>
    </row>
    <row r="32">
      <c r="A32" s="28" t="n"/>
      <c r="B32" s="24" t="n"/>
      <c r="C32" s="23" t="n"/>
      <c r="D32" s="23" t="n"/>
      <c r="E32" s="24" t="n"/>
      <c r="F32" s="24" t="n"/>
      <c r="G32" s="24" t="n"/>
      <c r="H32" s="24" t="n"/>
      <c r="I32" s="24" t="n"/>
      <c r="J32" s="29" t="n"/>
      <c r="K32" s="24" t="n"/>
      <c r="L32" s="24" t="n"/>
      <c r="M32" s="24" t="n"/>
      <c r="N32" s="24" t="n"/>
    </row>
    <row r="33">
      <c r="A33" s="28" t="n"/>
      <c r="B33" s="24" t="n"/>
      <c r="C33" s="23" t="n"/>
      <c r="D33" s="23" t="n"/>
      <c r="E33" s="24" t="n"/>
      <c r="F33" s="24" t="n"/>
      <c r="G33" s="24" t="n"/>
      <c r="H33" s="24" t="n"/>
      <c r="I33" s="24" t="n"/>
      <c r="J33" s="29" t="n"/>
      <c r="K33" s="24" t="n"/>
      <c r="L33" s="24" t="n"/>
      <c r="M33" s="24" t="n"/>
      <c r="N33" s="24" t="n"/>
    </row>
    <row r="34">
      <c r="A34" s="28" t="n"/>
      <c r="B34" s="24" t="n"/>
      <c r="C34" s="23" t="n"/>
      <c r="D34" s="23" t="n"/>
      <c r="E34" s="24" t="n"/>
      <c r="F34" s="24" t="n"/>
      <c r="G34" s="24" t="n"/>
      <c r="H34" s="24" t="n"/>
      <c r="I34" s="24" t="n"/>
      <c r="J34" s="29" t="n"/>
      <c r="K34" s="24" t="n"/>
      <c r="L34" s="24" t="n"/>
      <c r="M34" s="24" t="n"/>
      <c r="N34" s="24" t="n"/>
    </row>
    <row r="35">
      <c r="A35" s="28" t="n"/>
      <c r="B35" s="24" t="n"/>
      <c r="C35" s="23" t="n"/>
      <c r="D35" s="23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</row>
    <row r="36">
      <c r="A36" s="28" t="n"/>
      <c r="B36" s="24" t="n"/>
      <c r="C36" s="23" t="n"/>
      <c r="D36" s="23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</row>
    <row r="37" customFormat="1" s="18">
      <c r="A37" s="28" t="n"/>
      <c r="B37" s="24" t="n"/>
      <c r="C37" s="23" t="n"/>
      <c r="D37" s="23" t="n"/>
      <c r="E37" s="24" t="n"/>
      <c r="F37" s="24" t="n"/>
      <c r="G37" s="24" t="n"/>
      <c r="H37" s="24" t="n"/>
      <c r="I37" s="24" t="n"/>
      <c r="J37" s="29" t="n"/>
      <c r="K37" s="24" t="n"/>
      <c r="L37" s="24" t="n"/>
      <c r="M37" s="24" t="n"/>
      <c r="N37" s="24" t="n"/>
      <c r="P37" s="17" t="n"/>
    </row>
    <row r="38" ht="16.2" customHeight="1" thickBot="1">
      <c r="A38" s="25" t="n"/>
      <c r="B38" s="25" t="n"/>
      <c r="C38" s="25" t="n"/>
      <c r="D38" s="26" t="n"/>
      <c r="E38" s="25" t="n"/>
      <c r="F38" s="25">
        <f>SUM(F20:F37)</f>
        <v/>
      </c>
      <c r="G38" s="25">
        <f>SUM(G20:G37)</f>
        <v/>
      </c>
      <c r="H38" s="25" t="n"/>
      <c r="I38" s="25" t="n"/>
      <c r="J38" s="25" t="n"/>
      <c r="K38" s="25">
        <f>SUM(K20:K37)</f>
        <v/>
      </c>
      <c r="L38" s="25" t="n"/>
      <c r="M38" s="25">
        <f>SUM(M20:M37)</f>
        <v/>
      </c>
      <c r="N38" s="25" t="n"/>
    </row>
    <row r="39" ht="16.2" customHeight="1" thickTop="1"/>
  </sheetData>
  <mergeCells count="8">
    <mergeCell ref="L18:L19"/>
    <mergeCell ref="C10:D10"/>
    <mergeCell ref="D1:I4"/>
    <mergeCell ref="C11:D11"/>
    <mergeCell ref="M18:M19"/>
    <mergeCell ref="C9:D9"/>
    <mergeCell ref="J8:K8"/>
    <mergeCell ref="C8:D8"/>
  </mergeCells>
  <pageMargins left="0.7086614173228347" right="0.7086614173228347" top="0.7480314960629921" bottom="0.7480314960629921" header="0.3149606299212598" footer="0.3149606299212598"/>
  <pageSetup orientation="landscape" scale="4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MTX - VH</dc:creator>
  <dcterms:created xsi:type="dcterms:W3CDTF">2016-09-08T15:27:58Z</dcterms:created>
  <dcterms:modified xsi:type="dcterms:W3CDTF">2026-06-11T20:18:57Z</dcterms:modified>
  <cp:lastModifiedBy>Pawan Timilsena</cp:lastModifiedBy>
  <cp:lastPrinted>2025-09-04T15:02:54Z</cp:lastPrinted>
</cp:coreProperties>
</file>